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79189\Downloads\"/>
    </mc:Choice>
  </mc:AlternateContent>
  <xr:revisionPtr revIDLastSave="0" documentId="13_ncr:1_{89307D49-F7E2-49A7-ACEF-14AD4EB2C7DA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Игра" sheetId="1" r:id="rId1"/>
    <sheet name="Формулы" sheetId="2" r:id="rId2"/>
    <sheet name="Правила" sheetId="3" r:id="rId3"/>
    <sheet name="Слова" sheetId="4" r:id="rId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  <c r="F14" i="1"/>
  <c r="B23" i="1" l="1"/>
  <c r="B2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E32" i="1"/>
  <c r="B32" i="1"/>
  <c r="E31" i="1"/>
  <c r="B31" i="1"/>
  <c r="E30" i="1"/>
  <c r="B30" i="1"/>
  <c r="E29" i="1"/>
  <c r="B29" i="1"/>
  <c r="E28" i="1"/>
  <c r="B28" i="1"/>
  <c r="E27" i="1"/>
  <c r="B27" i="1"/>
  <c r="E26" i="1"/>
  <c r="B26" i="1"/>
  <c r="E25" i="1"/>
  <c r="B25" i="1"/>
  <c r="E24" i="1"/>
  <c r="B24" i="1"/>
  <c r="E23" i="1"/>
  <c r="E22" i="1"/>
  <c r="B22" i="1"/>
  <c r="E21" i="1"/>
  <c r="B4" i="2" l="1"/>
  <c r="B5" i="2"/>
  <c r="H20" i="1" s="1"/>
  <c r="E3" i="1" l="1"/>
  <c r="H19" i="1"/>
  <c r="B6" i="2"/>
  <c r="E5" i="1"/>
  <c r="B8" i="2"/>
  <c r="B11" i="2"/>
  <c r="E4" i="1"/>
  <c r="H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B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C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D1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E1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F1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B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C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D1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E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F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B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C1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D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E1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F1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B1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C15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D1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E1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F1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B16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C1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D1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E16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F1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Вводите по одной букве в клетку. Начните с центрального слова.</t>
        </r>
      </text>
    </comment>
    <comment ref="G2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Диаграмма строится по формулам со страницы «Формулы».</t>
        </r>
      </text>
    </comment>
  </commentList>
</comments>
</file>

<file path=xl/sharedStrings.xml><?xml version="1.0" encoding="utf-8"?>
<sst xmlns="http://schemas.openxmlformats.org/spreadsheetml/2006/main" count="52" uniqueCount="50">
  <si>
    <t>Игра «Балда / Королевский квадрат»</t>
  </si>
  <si>
    <t>Игрок 1:</t>
  </si>
  <si>
    <t>Игрок 1</t>
  </si>
  <si>
    <t>Счёт игрока 1:</t>
  </si>
  <si>
    <t>Игрок 2:</t>
  </si>
  <si>
    <t>Игрок 2</t>
  </si>
  <si>
    <t>Счёт игрока 2:</t>
  </si>
  <si>
    <t>Ход:</t>
  </si>
  <si>
    <t xml:space="preserve">Игровое поле </t>
  </si>
  <si>
    <t>Статистика</t>
  </si>
  <si>
    <t>Игрок</t>
  </si>
  <si>
    <t>Очки</t>
  </si>
  <si>
    <t>Журнал ходов</t>
  </si>
  <si>
    <t>№</t>
  </si>
  <si>
    <t>Слово</t>
  </si>
  <si>
    <t>Буква</t>
  </si>
  <si>
    <t>таз</t>
  </si>
  <si>
    <t>Все формулы, использованные в файле</t>
  </si>
  <si>
    <t>Показатель</t>
  </si>
  <si>
    <t>Формула</t>
  </si>
  <si>
    <t>Назначение</t>
  </si>
  <si>
    <t>Счёт игрока 1</t>
  </si>
  <si>
    <t>Суммирует очки игрока 1</t>
  </si>
  <si>
    <t>Счёт игрока 2</t>
  </si>
  <si>
    <t>Суммирует очки игрока 2</t>
  </si>
  <si>
    <t>Текущий ход</t>
  </si>
  <si>
    <t>Определяет игрока по числу занятых клеток</t>
  </si>
  <si>
    <t>Победитель</t>
  </si>
  <si>
    <t>Сравнивает итоговые очки</t>
  </si>
  <si>
    <t>Итог</t>
  </si>
  <si>
    <t>Имя победителя или «Ничья»</t>
  </si>
  <si>
    <t>Правила игры</t>
  </si>
  <si>
    <t>Цель: составлять слова на поле 5×5, добавляя по одной букве.</t>
  </si>
  <si>
    <t>В начале используется центральное слово «БАЛДА».</t>
  </si>
  <si>
    <t>Каждая новая буква должна добавляться в свободную клетку рядом с уже занятыми клетками.</t>
  </si>
  <si>
    <t>Слово должно состоять из букв, соединённых по соседним клеткам по горизонтали или вертикали.</t>
  </si>
  <si>
    <t>Одну и ту же клетку нельзя использовать дважды в одном слове.</t>
  </si>
  <si>
    <t>За слово игрок получает столько очков, сколько в нём букв.</t>
  </si>
  <si>
    <t>В этом шаблоне Excel автоматически считает очки по длине слова, но не проверяет слова по словарю.</t>
  </si>
  <si>
    <t>Победитель определяется по сумме очков в журнале ходов.</t>
  </si>
  <si>
    <t>Введите Имена игроков в поле B3 и B4</t>
  </si>
  <si>
    <t>Павел</t>
  </si>
  <si>
    <t>Егор</t>
  </si>
  <si>
    <t>з</t>
  </si>
  <si>
    <t>м</t>
  </si>
  <si>
    <t>март</t>
  </si>
  <si>
    <t>ЕСЛИ</t>
  </si>
  <si>
    <t>СУММЕСЛИ</t>
  </si>
  <si>
    <t>Введите слово из 5 букв в ячейку G3</t>
  </si>
  <si>
    <t>ПАШГА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</si>
</sst>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b/>
      <sz val="11"/>
      <color theme="1"/>
      <name val="Times New Roman"/>
    </font>
    <font>
      <b/>
      <sz val="16"/>
      <color rgb="FFFFFFFF"/>
      <name val="Times New Roman"/>
    </font>
    <font>
      <b/>
      <sz val="11"/>
      <color rgb="FFFFFFFF"/>
      <name val="Times New Roman"/>
    </font>
    <font>
      <sz val="11"/>
      <color theme="1"/>
      <name val="Times New Roman"/>
    </font>
    <font>
      <b/>
      <sz val="13"/>
      <name val="Times New Roman"/>
    </font>
    <font>
      <b/>
      <sz val="18"/>
      <name val="Times New Roman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8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B050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2" fillId="0" borderId="2" xfId="0" applyFont="1" applyBorder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4" fillId="3" borderId="0" xfId="0" applyFont="1" applyFill="1"/>
    <xf numFmtId="0" fontId="10" fillId="5" borderId="0" xfId="0" applyFont="1" applyFill="1"/>
    <xf numFmtId="0" fontId="10" fillId="6" borderId="0" xfId="0" applyFont="1" applyFill="1" applyAlignment="1">
      <alignment wrapText="1"/>
    </xf>
    <xf numFmtId="0" fontId="2" fillId="9" borderId="0" xfId="0" applyFont="1" applyFill="1" applyAlignment="1">
      <alignment vertical="top" wrapText="1"/>
    </xf>
    <xf numFmtId="0" fontId="10" fillId="0" borderId="0" xfId="0" applyFont="1" applyAlignment="1"/>
    <xf numFmtId="0" fontId="3" fillId="3" borderId="0" xfId="0" applyFont="1" applyFill="1" applyAlignment="1"/>
    <xf numFmtId="0" fontId="2" fillId="3" borderId="0" xfId="0" applyFont="1" applyFill="1" applyAlignment="1"/>
    <xf numFmtId="0" fontId="5" fillId="3" borderId="0" xfId="0" applyFont="1" applyFill="1" applyAlignment="1"/>
    <xf numFmtId="0" fontId="2" fillId="0" borderId="0" xfId="0" applyFont="1" applyProtection="1">
      <protection locked="0"/>
    </xf>
    <xf numFmtId="0" fontId="10" fillId="0" borderId="2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0" fillId="7" borderId="0" xfId="0" applyFont="1" applyFill="1" applyBorder="1" applyProtection="1">
      <protection locked="0"/>
    </xf>
    <xf numFmtId="0" fontId="10" fillId="8" borderId="0" xfId="0" applyFont="1" applyFill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0" fillId="9" borderId="0" xfId="0" applyFont="1" applyFill="1" applyProtection="1">
      <protection locked="0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B0505"/>
      <color rgb="FFE2E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z-Cyrl-AZ"/>
              <a:t>Кто выигрывает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Игра!$H$18</c:f>
              <c:strCache>
                <c:ptCount val="1"/>
                <c:pt idx="0">
                  <c:v>Очки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Игра!$G$19:$G$20</c:f>
              <c:strCache>
                <c:ptCount val="2"/>
                <c:pt idx="0">
                  <c:v>Игрок 1</c:v>
                </c:pt>
                <c:pt idx="1">
                  <c:v>Игрок 2</c:v>
                </c:pt>
              </c:strCache>
            </c:strRef>
          </c:cat>
          <c:val>
            <c:numRef>
              <c:f>Игра!$H$19:$H$20</c:f>
              <c:numCache>
                <c:formatCode>General</c:formatCode>
                <c:ptCount val="2"/>
                <c:pt idx="0">
                  <c:v>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8-455A-86F1-1704C81E5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az-Cyrl-AZ"/>
                  <a:t>Очки</a:t>
                </a:r>
              </a:p>
            </c:rich>
          </c:tx>
          <c:layout>
            <c:manualLayout>
              <c:xMode val="edge"/>
              <c:yMode val="edge"/>
              <c:x val="6.4141414141414138E-3"/>
              <c:y val="0.3950234126984126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276225</xdr:colOff>
      <xdr:row>20</xdr:row>
      <xdr:rowOff>161925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85" zoomScaleNormal="85" workbookViewId="0">
      <selection activeCell="K9" sqref="K9"/>
    </sheetView>
  </sheetViews>
  <sheetFormatPr defaultRowHeight="15" x14ac:dyDescent="0.25"/>
  <cols>
    <col min="1" max="1" width="12" customWidth="1"/>
    <col min="2" max="2" width="14" customWidth="1"/>
    <col min="3" max="3" width="18" customWidth="1"/>
    <col min="4" max="4" width="14.28515625" customWidth="1"/>
    <col min="5" max="6" width="12" customWidth="1"/>
    <col min="7" max="7" width="38.85546875" bestFit="1" customWidth="1"/>
    <col min="8" max="8" width="18" customWidth="1"/>
  </cols>
  <sheetData>
    <row r="1" spans="1:8" ht="20.25" x14ac:dyDescent="0.3">
      <c r="A1" s="17" t="s">
        <v>0</v>
      </c>
      <c r="B1" s="18"/>
      <c r="C1" s="18"/>
      <c r="D1" s="18"/>
      <c r="E1" s="18"/>
      <c r="F1" s="18"/>
      <c r="G1" s="18"/>
      <c r="H1" s="18"/>
    </row>
    <row r="2" spans="1:8" ht="72" x14ac:dyDescent="0.25">
      <c r="A2" s="2"/>
      <c r="B2" s="14" t="s">
        <v>40</v>
      </c>
      <c r="C2" s="2"/>
      <c r="E2" s="2"/>
      <c r="F2" s="2"/>
      <c r="G2" s="16" t="s">
        <v>48</v>
      </c>
      <c r="H2" s="2"/>
    </row>
    <row r="3" spans="1:8" x14ac:dyDescent="0.25">
      <c r="A3" s="1" t="s">
        <v>1</v>
      </c>
      <c r="B3" s="23" t="s">
        <v>41</v>
      </c>
      <c r="C3" s="2"/>
      <c r="D3" s="9" t="s">
        <v>3</v>
      </c>
      <c r="E3" s="2">
        <f>Формулы!B4</f>
        <v>3</v>
      </c>
      <c r="F3" s="2"/>
      <c r="G3" s="28" t="s">
        <v>49</v>
      </c>
      <c r="H3" s="2"/>
    </row>
    <row r="4" spans="1:8" x14ac:dyDescent="0.25">
      <c r="A4" s="1" t="s">
        <v>4</v>
      </c>
      <c r="B4" s="24" t="s">
        <v>42</v>
      </c>
      <c r="C4" s="2"/>
      <c r="D4" s="10" t="s">
        <v>6</v>
      </c>
      <c r="E4" s="2">
        <f>Формулы!B5</f>
        <v>4</v>
      </c>
      <c r="F4" s="2"/>
      <c r="G4" s="2"/>
      <c r="H4" s="2"/>
    </row>
    <row r="5" spans="1:8" x14ac:dyDescent="0.25">
      <c r="A5" s="2"/>
      <c r="B5" s="2"/>
      <c r="C5" s="2"/>
      <c r="D5" s="1" t="s">
        <v>7</v>
      </c>
      <c r="E5" s="13" t="str">
        <f>IF(COUNTA(B12:F16)=0,"Игрок 1",IF(MOD(COUNTA(B12:F16)-1,2)=0,"Игрок 1","Игрок 2"))</f>
        <v>Игрок 1</v>
      </c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ht="16.5" x14ac:dyDescent="0.25">
      <c r="B7" s="2"/>
      <c r="C7" s="2"/>
      <c r="D7" s="2"/>
      <c r="E7" s="2"/>
      <c r="F7" s="2"/>
      <c r="G7" s="5"/>
      <c r="H7" s="2"/>
    </row>
    <row r="8" spans="1:8" x14ac:dyDescent="0.25">
      <c r="A8" s="2"/>
      <c r="B8" s="2"/>
      <c r="C8" s="2"/>
      <c r="D8" s="2"/>
      <c r="E8" s="2"/>
      <c r="F8" s="2"/>
      <c r="G8" s="8"/>
      <c r="H8" s="8"/>
    </row>
    <row r="9" spans="1:8" x14ac:dyDescent="0.25">
      <c r="A9" s="2"/>
      <c r="B9" s="2"/>
      <c r="C9" s="2"/>
      <c r="D9" s="2"/>
      <c r="E9" s="2"/>
      <c r="F9" s="2"/>
      <c r="G9" s="8"/>
      <c r="H9" s="8"/>
    </row>
    <row r="10" spans="1:8" x14ac:dyDescent="0.25">
      <c r="A10" s="2"/>
      <c r="B10" s="2"/>
      <c r="C10" s="2"/>
      <c r="D10" s="2"/>
      <c r="E10" s="2"/>
      <c r="F10" s="2"/>
      <c r="G10" s="8"/>
      <c r="H10" s="8"/>
    </row>
    <row r="11" spans="1:8" ht="16.5" x14ac:dyDescent="0.25">
      <c r="A11" s="5" t="s">
        <v>8</v>
      </c>
      <c r="B11" s="2"/>
      <c r="C11" s="2"/>
      <c r="D11" s="2"/>
      <c r="E11" s="2"/>
      <c r="F11" s="2"/>
      <c r="G11" s="8"/>
      <c r="H11" s="8"/>
    </row>
    <row r="12" spans="1:8" ht="28.5" x14ac:dyDescent="0.25">
      <c r="A12" s="2"/>
      <c r="B12" s="25"/>
      <c r="C12" s="25"/>
      <c r="D12" s="25"/>
      <c r="E12" s="25"/>
      <c r="F12" s="27"/>
      <c r="G12" s="8"/>
      <c r="H12" s="15" t="str">
        <f>IF(H19&gt;H20,"Выигрывает игрок 1","Выигрывает игрок 2")</f>
        <v>Выигрывает игрок 2</v>
      </c>
    </row>
    <row r="13" spans="1:8" ht="22.5" x14ac:dyDescent="0.25">
      <c r="A13" s="2"/>
      <c r="B13" s="25"/>
      <c r="C13" s="25"/>
      <c r="D13" s="25"/>
      <c r="E13" s="25"/>
      <c r="F13" s="25"/>
      <c r="G13" s="8"/>
      <c r="H13" s="8"/>
    </row>
    <row r="14" spans="1:8" ht="22.5" x14ac:dyDescent="0.25">
      <c r="A14" s="2"/>
      <c r="B14" s="26" t="str">
        <f>MID($G3,1,1)</f>
        <v>П</v>
      </c>
      <c r="C14" s="26" t="str">
        <f>MID($G3,2,1)</f>
        <v>А</v>
      </c>
      <c r="D14" s="26" t="str">
        <f>MID($G3,3,1)</f>
        <v>Ш</v>
      </c>
      <c r="E14" s="26" t="str">
        <f>MID($G3,4,1)</f>
        <v>Г</v>
      </c>
      <c r="F14" s="26" t="str">
        <f>MID($G3,5,1)</f>
        <v>А</v>
      </c>
      <c r="G14" s="8"/>
      <c r="H14" s="8"/>
    </row>
    <row r="15" spans="1:8" ht="22.5" x14ac:dyDescent="0.25">
      <c r="A15" s="2"/>
      <c r="B15" s="25"/>
      <c r="C15" s="27"/>
      <c r="D15" s="25"/>
      <c r="E15" s="25"/>
      <c r="F15" s="27"/>
      <c r="G15" s="2"/>
      <c r="H15" s="2"/>
    </row>
    <row r="16" spans="1:8" ht="22.5" x14ac:dyDescent="0.25">
      <c r="A16" s="2"/>
      <c r="B16" s="25"/>
      <c r="C16" s="25"/>
      <c r="D16" s="25"/>
      <c r="E16" s="25"/>
      <c r="F16" s="25"/>
      <c r="G16" s="2"/>
      <c r="H16" s="2"/>
    </row>
    <row r="17" spans="1:8" ht="16.5" x14ac:dyDescent="0.25">
      <c r="A17" s="2"/>
      <c r="B17" s="2"/>
      <c r="C17" s="2"/>
      <c r="D17" s="2"/>
      <c r="E17" s="2"/>
      <c r="F17" s="2"/>
      <c r="G17" s="5" t="s">
        <v>9</v>
      </c>
      <c r="H17" s="2"/>
    </row>
    <row r="18" spans="1:8" x14ac:dyDescent="0.25">
      <c r="A18" s="2"/>
      <c r="B18" s="2"/>
      <c r="C18" s="2"/>
      <c r="D18" s="2"/>
      <c r="E18" s="2"/>
      <c r="F18" s="2"/>
      <c r="G18" s="2" t="s">
        <v>10</v>
      </c>
      <c r="H18" s="2" t="s">
        <v>11</v>
      </c>
    </row>
    <row r="19" spans="1:8" ht="16.5" x14ac:dyDescent="0.25">
      <c r="A19" s="5" t="s">
        <v>12</v>
      </c>
      <c r="B19" s="2"/>
      <c r="C19" s="2"/>
      <c r="D19" s="2"/>
      <c r="E19" s="2"/>
      <c r="F19" s="2"/>
      <c r="G19" s="2" t="s">
        <v>2</v>
      </c>
      <c r="H19" s="2">
        <f>Формулы!B4</f>
        <v>3</v>
      </c>
    </row>
    <row r="20" spans="1:8" x14ac:dyDescent="0.25">
      <c r="A20" s="12" t="s">
        <v>13</v>
      </c>
      <c r="B20" s="12" t="s">
        <v>10</v>
      </c>
      <c r="C20" s="12" t="s">
        <v>14</v>
      </c>
      <c r="D20" s="12" t="s">
        <v>15</v>
      </c>
      <c r="E20" s="12" t="s">
        <v>11</v>
      </c>
      <c r="F20" s="2"/>
      <c r="G20" s="2" t="s">
        <v>5</v>
      </c>
      <c r="H20" s="2">
        <f>Формулы!B5</f>
        <v>4</v>
      </c>
    </row>
    <row r="21" spans="1:8" x14ac:dyDescent="0.25">
      <c r="A21" s="6">
        <v>1</v>
      </c>
      <c r="B21" s="6" t="str">
        <f t="shared" ref="B21:B40" si="0">IF(C21="","",IF(MOD(A21-1,2)=0,$B$3,$B$4))</f>
        <v>Павел</v>
      </c>
      <c r="C21" s="21" t="s">
        <v>16</v>
      </c>
      <c r="D21" s="21" t="s">
        <v>43</v>
      </c>
      <c r="E21" s="6">
        <f t="shared" ref="E21:E40" si="1">IF(C21="","",LEN(C21))</f>
        <v>3</v>
      </c>
      <c r="F21" s="2"/>
      <c r="G21" s="2"/>
      <c r="H21" s="2"/>
    </row>
    <row r="22" spans="1:8" x14ac:dyDescent="0.25">
      <c r="A22" s="6">
        <v>2</v>
      </c>
      <c r="B22" s="6" t="str">
        <f t="shared" si="0"/>
        <v>Егор</v>
      </c>
      <c r="C22" s="21" t="s">
        <v>45</v>
      </c>
      <c r="D22" s="21" t="s">
        <v>44</v>
      </c>
      <c r="E22" s="6">
        <f t="shared" si="1"/>
        <v>4</v>
      </c>
      <c r="F22" s="2"/>
      <c r="G22" s="2"/>
      <c r="H22" s="2"/>
    </row>
    <row r="23" spans="1:8" x14ac:dyDescent="0.25">
      <c r="A23" s="6">
        <v>3</v>
      </c>
      <c r="B23" s="6" t="str">
        <f t="shared" si="0"/>
        <v/>
      </c>
      <c r="C23" s="21"/>
      <c r="D23" s="22"/>
      <c r="E23" s="6" t="str">
        <f t="shared" si="1"/>
        <v/>
      </c>
      <c r="F23" s="2"/>
      <c r="G23" s="2"/>
      <c r="H23" s="2"/>
    </row>
    <row r="24" spans="1:8" x14ac:dyDescent="0.25">
      <c r="A24" s="6">
        <v>4</v>
      </c>
      <c r="B24" s="6" t="str">
        <f t="shared" si="0"/>
        <v/>
      </c>
      <c r="C24" s="21"/>
      <c r="D24" s="22"/>
      <c r="E24" s="6" t="str">
        <f t="shared" si="1"/>
        <v/>
      </c>
      <c r="F24" s="2"/>
      <c r="G24" s="2"/>
      <c r="H24" s="2"/>
    </row>
    <row r="25" spans="1:8" x14ac:dyDescent="0.25">
      <c r="A25" s="6">
        <v>5</v>
      </c>
      <c r="B25" s="6" t="str">
        <f t="shared" si="0"/>
        <v/>
      </c>
      <c r="C25" s="22"/>
      <c r="D25" s="22"/>
      <c r="E25" s="6" t="str">
        <f t="shared" si="1"/>
        <v/>
      </c>
      <c r="F25" s="2"/>
      <c r="G25" s="2"/>
      <c r="H25" s="2"/>
    </row>
    <row r="26" spans="1:8" x14ac:dyDescent="0.25">
      <c r="A26" s="6">
        <v>6</v>
      </c>
      <c r="B26" s="6" t="str">
        <f t="shared" si="0"/>
        <v/>
      </c>
      <c r="C26" s="22"/>
      <c r="D26" s="22"/>
      <c r="E26" s="6" t="str">
        <f t="shared" si="1"/>
        <v/>
      </c>
      <c r="F26" s="2"/>
      <c r="G26" s="2"/>
      <c r="H26" s="2"/>
    </row>
    <row r="27" spans="1:8" x14ac:dyDescent="0.25">
      <c r="A27" s="6">
        <v>7</v>
      </c>
      <c r="B27" s="6" t="str">
        <f t="shared" si="0"/>
        <v/>
      </c>
      <c r="C27" s="22"/>
      <c r="D27" s="22"/>
      <c r="E27" s="6" t="str">
        <f t="shared" si="1"/>
        <v/>
      </c>
      <c r="F27" s="2"/>
      <c r="G27" s="2"/>
      <c r="H27" s="2"/>
    </row>
    <row r="28" spans="1:8" x14ac:dyDescent="0.25">
      <c r="A28" s="6">
        <v>8</v>
      </c>
      <c r="B28" s="6" t="str">
        <f t="shared" si="0"/>
        <v/>
      </c>
      <c r="C28" s="22"/>
      <c r="D28" s="22"/>
      <c r="E28" s="6" t="str">
        <f t="shared" si="1"/>
        <v/>
      </c>
      <c r="F28" s="2"/>
      <c r="G28" s="2"/>
      <c r="H28" s="2"/>
    </row>
    <row r="29" spans="1:8" x14ac:dyDescent="0.25">
      <c r="A29" s="6">
        <v>9</v>
      </c>
      <c r="B29" s="6" t="str">
        <f t="shared" si="0"/>
        <v/>
      </c>
      <c r="C29" s="22"/>
      <c r="D29" s="22"/>
      <c r="E29" s="6" t="str">
        <f t="shared" si="1"/>
        <v/>
      </c>
      <c r="F29" s="2"/>
      <c r="G29" s="2"/>
      <c r="H29" s="2"/>
    </row>
    <row r="30" spans="1:8" x14ac:dyDescent="0.25">
      <c r="A30" s="6">
        <v>10</v>
      </c>
      <c r="B30" s="6" t="str">
        <f t="shared" si="0"/>
        <v/>
      </c>
      <c r="C30" s="22"/>
      <c r="D30" s="22"/>
      <c r="E30" s="6" t="str">
        <f t="shared" si="1"/>
        <v/>
      </c>
      <c r="F30" s="2"/>
      <c r="G30" s="2"/>
      <c r="H30" s="2"/>
    </row>
    <row r="31" spans="1:8" x14ac:dyDescent="0.25">
      <c r="A31" s="6">
        <v>11</v>
      </c>
      <c r="B31" s="6" t="str">
        <f t="shared" si="0"/>
        <v/>
      </c>
      <c r="C31" s="22"/>
      <c r="D31" s="22"/>
      <c r="E31" s="6" t="str">
        <f t="shared" si="1"/>
        <v/>
      </c>
      <c r="F31" s="2"/>
      <c r="G31" s="2"/>
      <c r="H31" s="2"/>
    </row>
    <row r="32" spans="1:8" x14ac:dyDescent="0.25">
      <c r="A32" s="6">
        <v>12</v>
      </c>
      <c r="B32" s="6" t="str">
        <f t="shared" si="0"/>
        <v/>
      </c>
      <c r="C32" s="22"/>
      <c r="D32" s="22"/>
      <c r="E32" s="6" t="str">
        <f t="shared" si="1"/>
        <v/>
      </c>
      <c r="F32" s="2"/>
      <c r="G32" s="2"/>
      <c r="H32" s="2"/>
    </row>
    <row r="33" spans="1:8" x14ac:dyDescent="0.25">
      <c r="A33" s="6">
        <v>13</v>
      </c>
      <c r="B33" s="6" t="str">
        <f t="shared" si="0"/>
        <v/>
      </c>
      <c r="C33" s="22"/>
      <c r="D33" s="22"/>
      <c r="E33" s="6" t="str">
        <f t="shared" si="1"/>
        <v/>
      </c>
      <c r="F33" s="2"/>
      <c r="G33" s="2"/>
      <c r="H33" s="2"/>
    </row>
    <row r="34" spans="1:8" x14ac:dyDescent="0.25">
      <c r="A34" s="6">
        <v>14</v>
      </c>
      <c r="B34" s="6" t="str">
        <f t="shared" si="0"/>
        <v/>
      </c>
      <c r="C34" s="22"/>
      <c r="D34" s="22"/>
      <c r="E34" s="6" t="str">
        <f t="shared" si="1"/>
        <v/>
      </c>
      <c r="F34" s="2"/>
      <c r="G34" s="2"/>
      <c r="H34" s="2"/>
    </row>
    <row r="35" spans="1:8" x14ac:dyDescent="0.25">
      <c r="A35" s="6">
        <v>15</v>
      </c>
      <c r="B35" s="6" t="str">
        <f t="shared" si="0"/>
        <v/>
      </c>
      <c r="C35" s="22"/>
      <c r="D35" s="22"/>
      <c r="E35" s="6" t="str">
        <f t="shared" si="1"/>
        <v/>
      </c>
      <c r="F35" s="2"/>
      <c r="G35" s="2"/>
      <c r="H35" s="2"/>
    </row>
    <row r="36" spans="1:8" x14ac:dyDescent="0.25">
      <c r="A36" s="6">
        <v>16</v>
      </c>
      <c r="B36" s="6" t="str">
        <f t="shared" si="0"/>
        <v/>
      </c>
      <c r="C36" s="22"/>
      <c r="D36" s="22"/>
      <c r="E36" s="6" t="str">
        <f t="shared" si="1"/>
        <v/>
      </c>
      <c r="F36" s="2"/>
      <c r="G36" s="2"/>
      <c r="H36" s="2"/>
    </row>
    <row r="37" spans="1:8" x14ac:dyDescent="0.25">
      <c r="A37" s="6">
        <v>17</v>
      </c>
      <c r="B37" s="6" t="str">
        <f t="shared" si="0"/>
        <v/>
      </c>
      <c r="C37" s="22"/>
      <c r="D37" s="22"/>
      <c r="E37" s="6" t="str">
        <f t="shared" si="1"/>
        <v/>
      </c>
      <c r="F37" s="2"/>
      <c r="G37" s="20"/>
      <c r="H37" s="2"/>
    </row>
    <row r="38" spans="1:8" x14ac:dyDescent="0.25">
      <c r="A38" s="6">
        <v>18</v>
      </c>
      <c r="B38" s="6" t="str">
        <f t="shared" si="0"/>
        <v/>
      </c>
      <c r="C38" s="22"/>
      <c r="D38" s="22"/>
      <c r="E38" s="6" t="str">
        <f t="shared" si="1"/>
        <v/>
      </c>
      <c r="F38" s="2"/>
      <c r="G38" s="2"/>
      <c r="H38" s="2"/>
    </row>
    <row r="39" spans="1:8" x14ac:dyDescent="0.25">
      <c r="A39" s="6">
        <v>19</v>
      </c>
      <c r="B39" s="6" t="str">
        <f t="shared" si="0"/>
        <v/>
      </c>
      <c r="C39" s="22"/>
      <c r="D39" s="22"/>
      <c r="E39" s="6" t="str">
        <f t="shared" si="1"/>
        <v/>
      </c>
      <c r="F39" s="2"/>
      <c r="G39" s="2"/>
      <c r="H39" s="2"/>
    </row>
    <row r="40" spans="1:8" x14ac:dyDescent="0.25">
      <c r="A40" s="6">
        <v>20</v>
      </c>
      <c r="B40" s="6" t="str">
        <f t="shared" si="0"/>
        <v/>
      </c>
      <c r="C40" s="22"/>
      <c r="D40" s="22"/>
      <c r="E40" s="6" t="str">
        <f t="shared" si="1"/>
        <v/>
      </c>
      <c r="F40" s="2"/>
      <c r="G40" s="2"/>
      <c r="H40" s="2"/>
    </row>
  </sheetData>
  <sheetProtection algorithmName="SHA-512" hashValue="95kOkAQfvL5WfxXjhu+ypDYAE4WuPkWchl0LsLkOd6kwmHAEYeRY+D/ZDi9SffAOKDPCzXHFK4lkl1h7DDzYKA==" saltValue="vz3XHYPmfeapwRRFLrvPmA==" spinCount="100000" sheet="1"/>
  <mergeCells count="1">
    <mergeCell ref="A1:H1"/>
  </mergeCells>
  <dataValidations count="2">
    <dataValidation type="custom" operator="equal" allowBlank="1" showErrorMessage="1" errorTitle="Неверный ввод" error="Введите только одну букву." sqref="B12:F16" xr:uid="{00000000-0002-0000-0000-000000000000}">
      <formula1>LEN(B12)=1</formula1>
    </dataValidation>
    <dataValidation type="custom" allowBlank="1" showInputMessage="1" showErrorMessage="1" errorTitle="Неверная длина" error="ВВЕДИТЕ СЛОВО ИЗ 5 БУКВ" sqref="G3" xr:uid="{E336E99E-9EF6-457B-87ED-D7D3D8445CCD}">
      <formula1>LEN(G3)=5</formula1>
    </dataValidation>
  </dataValidations>
  <pageMargins left="0.75" right="0.75" top="1" bottom="1" header="0.5" footer="0.5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>
      <selection activeCell="B9" sqref="B9"/>
    </sheetView>
  </sheetViews>
  <sheetFormatPr defaultRowHeight="15" x14ac:dyDescent="0.25"/>
  <cols>
    <col min="1" max="1" width="25" customWidth="1"/>
    <col min="2" max="2" width="70" customWidth="1"/>
    <col min="3" max="3" width="45" customWidth="1"/>
  </cols>
  <sheetData>
    <row r="1" spans="1:4" ht="20.25" x14ac:dyDescent="0.3">
      <c r="A1" s="17" t="s">
        <v>17</v>
      </c>
      <c r="B1" s="18"/>
      <c r="C1" s="18"/>
      <c r="D1" s="18"/>
    </row>
    <row r="2" spans="1:4" x14ac:dyDescent="0.25">
      <c r="A2" s="2"/>
      <c r="B2" s="2"/>
      <c r="C2" s="2"/>
      <c r="D2" s="2"/>
    </row>
    <row r="3" spans="1:4" x14ac:dyDescent="0.25">
      <c r="A3" s="12" t="s">
        <v>18</v>
      </c>
      <c r="B3" s="12" t="s">
        <v>19</v>
      </c>
      <c r="C3" s="12" t="s">
        <v>20</v>
      </c>
      <c r="D3" s="2"/>
    </row>
    <row r="4" spans="1:4" ht="35.1" customHeight="1" x14ac:dyDescent="0.25">
      <c r="A4" s="7" t="s">
        <v>21</v>
      </c>
      <c r="B4" s="7">
        <f>SUMIF(Игра!B21:B40,Игра!B3,Игра!E21:E40)</f>
        <v>3</v>
      </c>
      <c r="C4" s="7" t="s">
        <v>22</v>
      </c>
      <c r="D4" s="2"/>
    </row>
    <row r="5" spans="1:4" ht="35.1" customHeight="1" x14ac:dyDescent="0.25">
      <c r="A5" s="7" t="s">
        <v>23</v>
      </c>
      <c r="B5" s="7">
        <f>SUMIF(Игра!B21:B40,Игра!B4,Игра!E21:E40)</f>
        <v>4</v>
      </c>
      <c r="C5" s="7" t="s">
        <v>24</v>
      </c>
      <c r="D5" s="2"/>
    </row>
    <row r="6" spans="1:4" ht="35.1" customHeight="1" x14ac:dyDescent="0.25">
      <c r="A6" s="7" t="s">
        <v>25</v>
      </c>
      <c r="B6" s="7" t="str">
        <f>IF(COUNTA(Игра!B12:F16)=0,"Игрок 1",IF(MOD(COUNTA(Игра!B12:F16)-1,2)=0,"Игрок 1","Игрок 2"))</f>
        <v>Игрок 1</v>
      </c>
      <c r="C6" s="7" t="s">
        <v>26</v>
      </c>
      <c r="D6" s="2"/>
    </row>
    <row r="7" spans="1:4" ht="35.1" customHeight="1" x14ac:dyDescent="0.25">
      <c r="A7" s="7"/>
      <c r="B7" s="7"/>
      <c r="C7" s="7"/>
      <c r="D7" s="2"/>
    </row>
    <row r="8" spans="1:4" ht="35.1" customHeight="1" x14ac:dyDescent="0.25">
      <c r="A8" s="7" t="s">
        <v>27</v>
      </c>
      <c r="B8" s="7" t="str">
        <f>IF(B4=B5, "Ничья", IF(B4&gt;B5,Игра!B3,Игра!B4))</f>
        <v>Егор</v>
      </c>
      <c r="C8" s="7" t="s">
        <v>28</v>
      </c>
      <c r="D8" s="2"/>
    </row>
    <row r="9" spans="1:4" ht="35.1" customHeight="1" x14ac:dyDescent="0.25">
      <c r="A9" s="2"/>
      <c r="B9" s="2"/>
      <c r="C9" s="2"/>
      <c r="D9" s="2"/>
    </row>
    <row r="10" spans="1:4" ht="35.1" customHeight="1" x14ac:dyDescent="0.25">
      <c r="A10" s="2"/>
      <c r="B10" s="2"/>
      <c r="C10" s="2"/>
      <c r="D10" s="2"/>
    </row>
    <row r="11" spans="1:4" ht="35.1" customHeight="1" x14ac:dyDescent="0.25">
      <c r="A11" s="2" t="s">
        <v>29</v>
      </c>
      <c r="B11" s="2" t="str">
        <f>IF(B4=B5,"Ничья",IF(B4&gt;B5,Игра!B3,Игра!B4))</f>
        <v>Егор</v>
      </c>
      <c r="C11" s="2" t="s">
        <v>30</v>
      </c>
      <c r="D11" s="2"/>
    </row>
    <row r="13" spans="1:4" x14ac:dyDescent="0.25">
      <c r="A13" t="s">
        <v>46</v>
      </c>
    </row>
    <row r="14" spans="1:4" x14ac:dyDescent="0.25">
      <c r="A14" t="s">
        <v>47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A40" sqref="A40"/>
    </sheetView>
  </sheetViews>
  <sheetFormatPr defaultRowHeight="15" x14ac:dyDescent="0.25"/>
  <cols>
    <col min="1" max="1" width="110" customWidth="1"/>
  </cols>
  <sheetData>
    <row r="1" spans="1:4" ht="20.25" x14ac:dyDescent="0.3">
      <c r="A1" s="17" t="s">
        <v>31</v>
      </c>
      <c r="B1" s="19"/>
      <c r="C1" s="19"/>
      <c r="D1" s="19"/>
    </row>
    <row r="2" spans="1:4" x14ac:dyDescent="0.25">
      <c r="A2" s="3"/>
      <c r="B2" s="3"/>
      <c r="C2" s="3"/>
      <c r="D2" s="3"/>
    </row>
    <row r="3" spans="1:4" x14ac:dyDescent="0.25">
      <c r="A3" s="4" t="s">
        <v>32</v>
      </c>
      <c r="B3" s="3"/>
      <c r="C3" s="3"/>
      <c r="D3" s="3"/>
    </row>
    <row r="4" spans="1:4" x14ac:dyDescent="0.25">
      <c r="A4" s="11" t="s">
        <v>33</v>
      </c>
      <c r="B4" s="3"/>
      <c r="C4" s="3"/>
      <c r="D4" s="3"/>
    </row>
    <row r="5" spans="1:4" x14ac:dyDescent="0.25">
      <c r="A5" s="4" t="s">
        <v>34</v>
      </c>
      <c r="B5" s="3"/>
      <c r="C5" s="3"/>
      <c r="D5" s="3"/>
    </row>
    <row r="6" spans="1:4" x14ac:dyDescent="0.25">
      <c r="A6" s="4" t="s">
        <v>35</v>
      </c>
      <c r="B6" s="3"/>
      <c r="C6" s="3"/>
      <c r="D6" s="3"/>
    </row>
    <row r="7" spans="1:4" x14ac:dyDescent="0.25">
      <c r="A7" s="4" t="s">
        <v>36</v>
      </c>
      <c r="B7" s="3"/>
      <c r="C7" s="3"/>
      <c r="D7" s="3"/>
    </row>
    <row r="8" spans="1:4" x14ac:dyDescent="0.25">
      <c r="A8" s="4" t="s">
        <v>37</v>
      </c>
      <c r="B8" s="3"/>
      <c r="C8" s="3"/>
      <c r="D8" s="3"/>
    </row>
    <row r="9" spans="1:4" x14ac:dyDescent="0.25">
      <c r="A9" s="4" t="s">
        <v>38</v>
      </c>
      <c r="B9" s="3"/>
      <c r="C9" s="3"/>
      <c r="D9" s="3"/>
    </row>
    <row r="10" spans="1:4" x14ac:dyDescent="0.25">
      <c r="A10" s="4" t="s">
        <v>39</v>
      </c>
      <c r="B10" s="3"/>
      <c r="C10" s="3"/>
      <c r="D10" s="3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15E0-E830-4AB3-94FC-92432A3704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Игра</vt:lpstr>
      <vt:lpstr>Формулы</vt:lpstr>
      <vt:lpstr>Правила</vt:lpstr>
      <vt:lpstr>Слова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pasha kevich</cp:lastModifiedBy>
  <cp:revision/>
  <dcterms:created xsi:type="dcterms:W3CDTF">2026-09-14T22:01:51Z</dcterms:created>
  <dcterms:modified xsi:type="dcterms:W3CDTF">2026-09-25T18:04:29Z</dcterms:modified>
  <cp:category/>
  <cp:contentStatus/>
</cp:coreProperties>
</file>