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а данных" sheetId="1" state="visible" r:id="rId1"/>
    <sheet xmlns:r="http://schemas.openxmlformats.org/officeDocument/2006/relationships" name="Справочники" sheetId="2" state="visible" r:id="rId2"/>
    <sheet xmlns:r="http://schemas.openxmlformats.org/officeDocument/2006/relationships" name="Отчёт" sheetId="3" state="visible" r:id="rId3"/>
    <sheet xmlns:r="http://schemas.openxmlformats.org/officeDocument/2006/relationships" name="Примеры фильтрации" sheetId="4" state="visible" r:id="rId4"/>
    <sheet xmlns:r="http://schemas.openxmlformats.org/officeDocument/2006/relationships" name="Методическая разработка" sheetId="5" state="visible" r:id="rId5"/>
  </sheets>
  <definedNames>
    <definedName name="_xlnm._FilterDatabase" localSheetId="0" hidden="1">'База данных'!$A$1:$J$38</definedName>
    <definedName name="_xlnm.Print_Titles" localSheetId="0">'База данных'!$1:$1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FFFFC7CE"/>
          <bgColor indexed="64"/>
        </patternFill>
      </fill>
    </dxf>
    <dxf>
      <fill>
        <patternFill patternType="solid">
          <fgColor rgb="FFFFEB9C"/>
          <bgColor indexed="6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Количество мероприятий по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'Отчёт'!E8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'Отчёт'!$D$9:$D$12</f>
            </numRef>
          </cat>
          <val>
            <numRef>
              <f>'Отчёт'!$E$9:$E$12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lanOU" displayName="PlanOU" ref="A1:J38" headerRowCount="1">
  <autoFilter ref="A1:J38"/>
  <tableColumns count="10">
    <tableColumn id="1" name="№"/>
    <tableColumn id="2" name="Наименование мероприятия"/>
    <tableColumn id="3" name="Направление"/>
    <tableColumn id="4" name="Начало"/>
    <tableColumn id="5" name="Окончание"/>
    <tableColumn id="6" name="Ответственный"/>
    <tableColumn id="7" name="Место проведения"/>
    <tableColumn id="8" name="Класс/группа"/>
    <tableColumn id="9" name="Статус"/>
    <tableColumn id="10" name="Примеч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8" customWidth="1" min="3" max="3"/>
    <col width="13" customWidth="1" min="4" max="4"/>
    <col width="13" customWidth="1" min="5" max="5"/>
    <col width="28" customWidth="1" min="6" max="6"/>
    <col width="24" customWidth="1" min="7" max="7"/>
    <col width="18" customWidth="1" min="8" max="8"/>
    <col width="18" customWidth="1" min="9" max="9"/>
    <col width="34" customWidth="1" min="10" max="10"/>
    <col width="20" customWidth="1" min="11" max="11"/>
  </cols>
  <sheetData>
    <row r="1" ht="34" customHeight="1">
      <c r="A1" s="1" t="inlineStr">
        <is>
          <t>№</t>
        </is>
      </c>
      <c r="B1" s="1" t="inlineStr">
        <is>
          <t>Наименование мероприятия</t>
        </is>
      </c>
      <c r="C1" s="1" t="inlineStr">
        <is>
          <t>Направление</t>
        </is>
      </c>
      <c r="D1" s="1" t="inlineStr">
        <is>
          <t>Начало</t>
        </is>
      </c>
      <c r="E1" s="1" t="inlineStr">
        <is>
          <t>Окончание</t>
        </is>
      </c>
      <c r="F1" s="1" t="inlineStr">
        <is>
          <t>Ответственный</t>
        </is>
      </c>
      <c r="G1" s="1" t="inlineStr">
        <is>
          <t>Место проведения</t>
        </is>
      </c>
      <c r="H1" s="1" t="inlineStr">
        <is>
          <t>Класс/группа</t>
        </is>
      </c>
      <c r="I1" s="1" t="inlineStr">
        <is>
          <t>Статус</t>
        </is>
      </c>
      <c r="J1" s="1" t="inlineStr">
        <is>
          <t>Примечание</t>
        </is>
      </c>
      <c r="K1" s="1" t="inlineStr">
        <is>
          <t>Телефон</t>
        </is>
      </c>
    </row>
    <row r="2">
      <c r="A2" s="2" t="n">
        <v>1</v>
      </c>
      <c r="B2" s="2" t="inlineStr">
        <is>
          <t>Подготовка к ЕГЭ по математике</t>
        </is>
      </c>
      <c r="C2" s="2" t="inlineStr">
        <is>
          <t>Учебная деятельность</t>
        </is>
      </c>
      <c r="D2" s="3" t="n">
        <v>46272</v>
      </c>
      <c r="E2" s="3" t="n">
        <v>46374</v>
      </c>
      <c r="F2" s="2" t="inlineStr">
        <is>
          <t>Иванова Елена Сергеевна</t>
        </is>
      </c>
      <c r="G2" s="2" t="inlineStr">
        <is>
          <t>Каб. 201</t>
        </is>
      </c>
      <c r="H2" s="2" t="inlineStr">
        <is>
          <t>11 класс</t>
        </is>
      </c>
      <c r="I2" s="2" t="inlineStr">
        <is>
          <t>Запланировано</t>
        </is>
      </c>
      <c r="J2" s="2" t="inlineStr">
        <is>
          <t>Консультации по пятницам</t>
        </is>
      </c>
      <c r="K2" s="2" t="inlineStr">
        <is>
          <t>+7 (900) 000-00-01</t>
        </is>
      </c>
    </row>
    <row r="3">
      <c r="A3" s="2" t="n">
        <v>2</v>
      </c>
      <c r="B3" s="2" t="inlineStr">
        <is>
          <t>Подготовка к ЕГЭ по русскому языку</t>
        </is>
      </c>
      <c r="C3" s="2" t="inlineStr">
        <is>
          <t>Учебная деятельность</t>
        </is>
      </c>
      <c r="D3" s="3" t="n">
        <v>46273</v>
      </c>
      <c r="E3" s="3" t="n">
        <v>46373</v>
      </c>
      <c r="F3" s="2" t="inlineStr">
        <is>
          <t>Петрова Анна Викторовна</t>
        </is>
      </c>
      <c r="G3" s="2" t="inlineStr">
        <is>
          <t>Каб. 203</t>
        </is>
      </c>
      <c r="H3" s="2" t="inlineStr">
        <is>
          <t>11 класс</t>
        </is>
      </c>
      <c r="I3" s="2" t="inlineStr">
        <is>
          <t>Запланировано</t>
        </is>
      </c>
      <c r="J3" s="2" t="inlineStr">
        <is>
          <t>Дополнительные занятия</t>
        </is>
      </c>
      <c r="K3" s="2" t="inlineStr">
        <is>
          <t>+7 (900) 000-00-02</t>
        </is>
      </c>
    </row>
    <row r="4">
      <c r="A4" s="2" t="n">
        <v>3</v>
      </c>
      <c r="B4" s="2" t="inlineStr">
        <is>
          <t>Подготовка к ОГЭ по математике</t>
        </is>
      </c>
      <c r="C4" s="2" t="inlineStr">
        <is>
          <t>Учебная деятельность</t>
        </is>
      </c>
      <c r="D4" s="3" t="n">
        <v>46274</v>
      </c>
      <c r="E4" s="3" t="n">
        <v>46372</v>
      </c>
      <c r="F4" s="2" t="inlineStr">
        <is>
          <t>Сидоров Павел Андреевич</t>
        </is>
      </c>
      <c r="G4" s="2" t="inlineStr">
        <is>
          <t>Каб. 205</t>
        </is>
      </c>
      <c r="H4" s="2" t="inlineStr">
        <is>
          <t>9 класс</t>
        </is>
      </c>
      <c r="I4" s="2" t="inlineStr">
        <is>
          <t>Запланировано</t>
        </is>
      </c>
      <c r="J4" s="2" t="inlineStr">
        <is>
          <t>Практические задания</t>
        </is>
      </c>
      <c r="K4" s="2" t="inlineStr">
        <is>
          <t>+7 (900) 000-00-03</t>
        </is>
      </c>
    </row>
    <row r="5">
      <c r="A5" s="2" t="n">
        <v>4</v>
      </c>
      <c r="B5" s="2" t="inlineStr">
        <is>
          <t>Диагностическая работа по математике</t>
        </is>
      </c>
      <c r="C5" s="2" t="inlineStr">
        <is>
          <t>Контроль знаний</t>
        </is>
      </c>
      <c r="D5" s="3" t="n">
        <v>46300</v>
      </c>
      <c r="E5" s="3" t="n">
        <v>46300</v>
      </c>
      <c r="F5" s="2" t="inlineStr">
        <is>
          <t>Сидоров Павел Андреевич</t>
        </is>
      </c>
      <c r="G5" s="2" t="inlineStr">
        <is>
          <t>Каб. 205</t>
        </is>
      </c>
      <c r="H5" s="2" t="inlineStr">
        <is>
          <t>9 класс</t>
        </is>
      </c>
      <c r="I5" s="2" t="inlineStr">
        <is>
          <t>Запланировано</t>
        </is>
      </c>
      <c r="J5" s="2" t="inlineStr">
        <is>
          <t>Входная диагностика</t>
        </is>
      </c>
      <c r="K5" s="2" t="inlineStr">
        <is>
          <t>+7 (900) 000-00-04</t>
        </is>
      </c>
    </row>
    <row r="6">
      <c r="A6" s="2" t="n">
        <v>5</v>
      </c>
      <c r="B6" s="2" t="inlineStr">
        <is>
          <t>Школьная олимпиада по русскому языку</t>
        </is>
      </c>
      <c r="C6" s="2" t="inlineStr">
        <is>
          <t>Учебная деятельность</t>
        </is>
      </c>
      <c r="D6" s="3" t="n">
        <v>46301</v>
      </c>
      <c r="E6" s="3" t="n">
        <v>46301</v>
      </c>
      <c r="F6" s="2" t="inlineStr">
        <is>
          <t>Петрова Анна Викторовна</t>
        </is>
      </c>
      <c r="G6" s="2" t="inlineStr">
        <is>
          <t>Актовый зал</t>
        </is>
      </c>
      <c r="H6" s="2" t="inlineStr">
        <is>
          <t>7-11 классы</t>
        </is>
      </c>
      <c r="I6" s="2" t="inlineStr">
        <is>
          <t>Запланировано</t>
        </is>
      </c>
      <c r="J6" s="2" t="inlineStr">
        <is>
          <t>1 тур</t>
        </is>
      </c>
      <c r="K6" s="2" t="inlineStr">
        <is>
          <t>+7 (900) 000-00-05</t>
        </is>
      </c>
    </row>
    <row r="7">
      <c r="A7" s="2" t="n">
        <v>6</v>
      </c>
      <c r="B7" s="2" t="inlineStr">
        <is>
          <t>Школьная олимпиада по математике</t>
        </is>
      </c>
      <c r="C7" s="2" t="inlineStr">
        <is>
          <t>Учебная деятельность</t>
        </is>
      </c>
      <c r="D7" s="3" t="n">
        <v>46303</v>
      </c>
      <c r="E7" s="3" t="n">
        <v>46303</v>
      </c>
      <c r="F7" s="2" t="inlineStr">
        <is>
          <t>Иванова Елена Сергеевна</t>
        </is>
      </c>
      <c r="G7" s="2" t="inlineStr">
        <is>
          <t>Каб. 201</t>
        </is>
      </c>
      <c r="H7" s="2" t="inlineStr">
        <is>
          <t>7-11 классы</t>
        </is>
      </c>
      <c r="I7" s="2" t="inlineStr">
        <is>
          <t>Запланировано</t>
        </is>
      </c>
      <c r="J7" s="2" t="inlineStr">
        <is>
          <t>1 тур</t>
        </is>
      </c>
      <c r="K7" s="2" t="inlineStr">
        <is>
          <t>+7 (900) 000-00-06</t>
        </is>
      </c>
    </row>
    <row r="8">
      <c r="A8" s="2" t="n">
        <v>7</v>
      </c>
      <c r="B8" s="2" t="inlineStr">
        <is>
          <t>Сдача нормативов ГТО</t>
        </is>
      </c>
      <c r="C8" s="2" t="inlineStr">
        <is>
          <t>Физическое воспитание</t>
        </is>
      </c>
      <c r="D8" s="3" t="n">
        <v>46304</v>
      </c>
      <c r="E8" s="3" t="n">
        <v>46304</v>
      </c>
      <c r="F8" s="2" t="inlineStr">
        <is>
          <t>Кузнецов Дмитрий Олегович</t>
        </is>
      </c>
      <c r="G8" s="2" t="inlineStr">
        <is>
          <t>Спортивный зал</t>
        </is>
      </c>
      <c r="H8" s="2" t="inlineStr">
        <is>
          <t>5-11 классы</t>
        </is>
      </c>
      <c r="I8" s="2" t="inlineStr">
        <is>
          <t>Запланировано</t>
        </is>
      </c>
      <c r="J8" s="2" t="inlineStr">
        <is>
          <t>Основная группа</t>
        </is>
      </c>
      <c r="K8" s="2" t="inlineStr">
        <is>
          <t>+7 (900) 000-00-07</t>
        </is>
      </c>
    </row>
    <row r="9">
      <c r="A9" s="2" t="n">
        <v>8</v>
      </c>
      <c r="B9" s="2" t="inlineStr">
        <is>
          <t>Кубановедение: тематический классный час</t>
        </is>
      </c>
      <c r="C9" s="2" t="inlineStr">
        <is>
          <t>Патриотическое воспитание</t>
        </is>
      </c>
      <c r="D9" s="3" t="n">
        <v>46305</v>
      </c>
      <c r="E9" s="3" t="n">
        <v>46305</v>
      </c>
      <c r="F9" s="2" t="inlineStr">
        <is>
          <t>Смирнова Ольга Игоревна</t>
        </is>
      </c>
      <c r="G9" s="2" t="inlineStr">
        <is>
          <t>Каб. 105</t>
        </is>
      </c>
      <c r="H9" s="2" t="inlineStr">
        <is>
          <t>6 класс</t>
        </is>
      </c>
      <c r="I9" s="2" t="inlineStr">
        <is>
          <t>Запланировано</t>
        </is>
      </c>
      <c r="J9" s="2" t="inlineStr">
        <is>
          <t>История и культура Кубани</t>
        </is>
      </c>
      <c r="K9" s="2" t="inlineStr">
        <is>
          <t>+7 (900) 000-00-08</t>
        </is>
      </c>
    </row>
    <row r="10">
      <c r="A10" s="2" t="n">
        <v>9</v>
      </c>
      <c r="B10" s="2" t="inlineStr">
        <is>
          <t>День учителя</t>
        </is>
      </c>
      <c r="C10" s="2" t="inlineStr">
        <is>
          <t>Общешкольное мероприятие</t>
        </is>
      </c>
      <c r="D10" s="3" t="n">
        <v>46297</v>
      </c>
      <c r="E10" s="3" t="n">
        <v>46297</v>
      </c>
      <c r="F10" s="2" t="inlineStr">
        <is>
          <t>Орлова Мария Николаевна</t>
        </is>
      </c>
      <c r="G10" s="2" t="inlineStr">
        <is>
          <t>Актовый зал</t>
        </is>
      </c>
      <c r="H10" s="2" t="inlineStr">
        <is>
          <t>1-11 классы</t>
        </is>
      </c>
      <c r="I10" s="2" t="inlineStr">
        <is>
          <t>Запланировано</t>
        </is>
      </c>
      <c r="J10" s="2" t="inlineStr">
        <is>
          <t>Праздничная программа</t>
        </is>
      </c>
      <c r="K10" s="2" t="inlineStr">
        <is>
          <t>+7 (900) 000-00-01</t>
        </is>
      </c>
    </row>
    <row r="11">
      <c r="A11" s="2" t="n">
        <v>10</v>
      </c>
      <c r="B11" s="2" t="inlineStr">
        <is>
          <t>Осенний бал</t>
        </is>
      </c>
      <c r="C11" s="2" t="inlineStr">
        <is>
          <t>Культурно-досуговая работа</t>
        </is>
      </c>
      <c r="D11" s="3" t="n">
        <v>46311</v>
      </c>
      <c r="E11" s="3" t="n">
        <v>46311</v>
      </c>
      <c r="F11" s="2" t="inlineStr">
        <is>
          <t>Орлова Мария Николаевна</t>
        </is>
      </c>
      <c r="G11" s="2" t="inlineStr">
        <is>
          <t>Актовый зал</t>
        </is>
      </c>
      <c r="H11" s="2" t="inlineStr">
        <is>
          <t>8-11 классы</t>
        </is>
      </c>
      <c r="I11" s="2" t="inlineStr">
        <is>
          <t>Запланировано</t>
        </is>
      </c>
      <c r="J11" s="2" t="inlineStr">
        <is>
          <t>Танцевальная программа</t>
        </is>
      </c>
      <c r="K11" s="2" t="inlineStr">
        <is>
          <t>+7 (900) 000-00-02</t>
        </is>
      </c>
    </row>
    <row r="12">
      <c r="A12" s="2" t="n">
        <v>11</v>
      </c>
      <c r="B12" s="2" t="inlineStr">
        <is>
          <t>Неделя безопасности дорожного движения</t>
        </is>
      </c>
      <c r="C12" s="2" t="inlineStr">
        <is>
          <t>Безопасность</t>
        </is>
      </c>
      <c r="D12" s="3" t="n">
        <v>46307</v>
      </c>
      <c r="E12" s="3" t="n">
        <v>46311</v>
      </c>
      <c r="F12" s="2" t="inlineStr">
        <is>
          <t>Морозов Алексей Викторович</t>
        </is>
      </c>
      <c r="G12" s="2" t="inlineStr">
        <is>
          <t>Школа</t>
        </is>
      </c>
      <c r="H12" s="2" t="inlineStr">
        <is>
          <t>1-11 классы</t>
        </is>
      </c>
      <c r="I12" s="2" t="inlineStr">
        <is>
          <t>Запланировано</t>
        </is>
      </c>
      <c r="J12" s="2" t="inlineStr">
        <is>
          <t>Профилактические мероприятия</t>
        </is>
      </c>
      <c r="K12" s="2" t="inlineStr">
        <is>
          <t>+7 (900) 000-00-03</t>
        </is>
      </c>
    </row>
    <row r="13">
      <c r="A13" s="2" t="n">
        <v>12</v>
      </c>
      <c r="B13" s="2" t="inlineStr">
        <is>
          <t>Инструктаж по пожарной безопасности</t>
        </is>
      </c>
      <c r="C13" s="2" t="inlineStr">
        <is>
          <t>Безопасность</t>
        </is>
      </c>
      <c r="D13" s="3" t="n">
        <v>46308</v>
      </c>
      <c r="E13" s="3" t="n">
        <v>46308</v>
      </c>
      <c r="F13" s="2" t="inlineStr">
        <is>
          <t>Морозов Алексей Викторович</t>
        </is>
      </c>
      <c r="G13" s="2" t="inlineStr">
        <is>
          <t>Актовый зал</t>
        </is>
      </c>
      <c r="H13" s="2" t="inlineStr">
        <is>
          <t>5-11 классы</t>
        </is>
      </c>
      <c r="I13" s="2" t="inlineStr">
        <is>
          <t>Запланировано</t>
        </is>
      </c>
      <c r="J13" s="2" t="inlineStr">
        <is>
          <t>Практический инструктаж</t>
        </is>
      </c>
      <c r="K13" s="2" t="inlineStr">
        <is>
          <t>+7 (900) 000-00-04</t>
        </is>
      </c>
    </row>
    <row r="14">
      <c r="A14" s="2" t="n">
        <v>13</v>
      </c>
      <c r="B14" s="2" t="inlineStr">
        <is>
          <t>Родительское собрание 9 классов</t>
        </is>
      </c>
      <c r="C14" s="2" t="inlineStr">
        <is>
          <t>Работа с родителями</t>
        </is>
      </c>
      <c r="D14" s="3" t="n">
        <v>46309</v>
      </c>
      <c r="E14" s="3" t="n">
        <v>46309</v>
      </c>
      <c r="F14" s="2" t="inlineStr">
        <is>
          <t>Волкова Наталья Андреевна</t>
        </is>
      </c>
      <c r="G14" s="2" t="inlineStr">
        <is>
          <t>Актовый зал</t>
        </is>
      </c>
      <c r="H14" s="2" t="inlineStr">
        <is>
          <t>9 классы</t>
        </is>
      </c>
      <c r="I14" s="2" t="inlineStr">
        <is>
          <t>Запланировано</t>
        </is>
      </c>
      <c r="J14" s="2" t="inlineStr">
        <is>
          <t>Итоги четверти</t>
        </is>
      </c>
      <c r="K14" s="2" t="inlineStr">
        <is>
          <t>+7 (900) 000-00-05</t>
        </is>
      </c>
    </row>
    <row r="15">
      <c r="A15" s="2" t="n">
        <v>14</v>
      </c>
      <c r="B15" s="2" t="inlineStr">
        <is>
          <t>Родительское собрание 11 классов</t>
        </is>
      </c>
      <c r="C15" s="2" t="inlineStr">
        <is>
          <t>Работа с родителями</t>
        </is>
      </c>
      <c r="D15" s="3" t="n">
        <v>46310</v>
      </c>
      <c r="E15" s="3" t="n">
        <v>46310</v>
      </c>
      <c r="F15" s="2" t="inlineStr">
        <is>
          <t>Волкова Наталья Андреевна</t>
        </is>
      </c>
      <c r="G15" s="2" t="inlineStr">
        <is>
          <t>Актовый зал</t>
        </is>
      </c>
      <c r="H15" s="2" t="inlineStr">
        <is>
          <t>11 класс</t>
        </is>
      </c>
      <c r="I15" s="2" t="inlineStr">
        <is>
          <t>Запланировано</t>
        </is>
      </c>
      <c r="J15" s="2" t="inlineStr">
        <is>
          <t>Подготовка к ЕГЭ</t>
        </is>
      </c>
      <c r="K15" s="2" t="inlineStr">
        <is>
          <t>+7 (900) 000-00-06</t>
        </is>
      </c>
    </row>
    <row r="16">
      <c r="A16" s="2" t="n">
        <v>15</v>
      </c>
      <c r="B16" s="2" t="inlineStr">
        <is>
          <t>Профилактическая беседа о вредных привычках</t>
        </is>
      </c>
      <c r="C16" s="2" t="inlineStr">
        <is>
          <t>Здоровьесбережение</t>
        </is>
      </c>
      <c r="D16" s="3" t="n">
        <v>46314</v>
      </c>
      <c r="E16" s="3" t="n">
        <v>46314</v>
      </c>
      <c r="F16" s="2" t="inlineStr">
        <is>
          <t>Белова Ирина Сергеевна</t>
        </is>
      </c>
      <c r="G16" s="2" t="inlineStr">
        <is>
          <t>Каб. 110</t>
        </is>
      </c>
      <c r="H16" s="2" t="inlineStr">
        <is>
          <t>8-9 классы</t>
        </is>
      </c>
      <c r="I16" s="2" t="inlineStr">
        <is>
          <t>Запланировано</t>
        </is>
      </c>
      <c r="J16" s="2" t="inlineStr">
        <is>
          <t>Профилактика</t>
        </is>
      </c>
      <c r="K16" s="2" t="inlineStr">
        <is>
          <t>+7 (900) 000-00-07</t>
        </is>
      </c>
    </row>
    <row r="17">
      <c r="A17" s="2" t="n">
        <v>16</v>
      </c>
      <c r="B17" s="2" t="inlineStr">
        <is>
          <t>День здоровья</t>
        </is>
      </c>
      <c r="C17" s="2" t="inlineStr">
        <is>
          <t>Здоровьесбережение</t>
        </is>
      </c>
      <c r="D17" s="3" t="n">
        <v>46315</v>
      </c>
      <c r="E17" s="3" t="n">
        <v>46315</v>
      </c>
      <c r="F17" s="2" t="inlineStr">
        <is>
          <t>Кузнецов Дмитрий Олегович</t>
        </is>
      </c>
      <c r="G17" s="2" t="inlineStr">
        <is>
          <t>Стадион</t>
        </is>
      </c>
      <c r="H17" s="2" t="inlineStr">
        <is>
          <t>1-11 классы</t>
        </is>
      </c>
      <c r="I17" s="2" t="inlineStr">
        <is>
          <t>Запланировано</t>
        </is>
      </c>
      <c r="J17" s="2" t="inlineStr">
        <is>
          <t>Спортивные эстафеты</t>
        </is>
      </c>
      <c r="K17" s="2" t="inlineStr">
        <is>
          <t>+7 (900) 000-00-08</t>
        </is>
      </c>
    </row>
    <row r="18">
      <c r="A18" s="2" t="n">
        <v>17</v>
      </c>
      <c r="B18" s="2" t="inlineStr">
        <is>
          <t>Экологическая акция «Чистый двор»</t>
        </is>
      </c>
      <c r="C18" s="2" t="inlineStr">
        <is>
          <t>Экологическое воспитание</t>
        </is>
      </c>
      <c r="D18" s="3" t="n">
        <v>46316</v>
      </c>
      <c r="E18" s="3" t="n">
        <v>46316</v>
      </c>
      <c r="F18" s="2" t="inlineStr">
        <is>
          <t>Лебедева Татьяна Павловна</t>
        </is>
      </c>
      <c r="G18" s="2" t="inlineStr">
        <is>
          <t>Территория школы</t>
        </is>
      </c>
      <c r="H18" s="2" t="inlineStr">
        <is>
          <t>5-11 классы</t>
        </is>
      </c>
      <c r="I18" s="2" t="inlineStr">
        <is>
          <t>Запланировано</t>
        </is>
      </c>
      <c r="J18" s="2" t="inlineStr">
        <is>
          <t>Уборка территории</t>
        </is>
      </c>
      <c r="K18" s="2" t="inlineStr">
        <is>
          <t>+7 (900) 000-00-01</t>
        </is>
      </c>
    </row>
    <row r="19">
      <c r="A19" s="2" t="n">
        <v>18</v>
      </c>
      <c r="B19" s="2" t="inlineStr">
        <is>
          <t>Урок финансовой грамотности</t>
        </is>
      </c>
      <c r="C19" s="2" t="inlineStr">
        <is>
          <t>Социально-экономическое воспитание</t>
        </is>
      </c>
      <c r="D19" s="3" t="n">
        <v>46317</v>
      </c>
      <c r="E19" s="3" t="n">
        <v>46317</v>
      </c>
      <c r="F19" s="2" t="inlineStr">
        <is>
          <t>Федоров Артем Викторович</t>
        </is>
      </c>
      <c r="G19" s="2" t="inlineStr">
        <is>
          <t>Каб. 207</t>
        </is>
      </c>
      <c r="H19" s="2" t="inlineStr">
        <is>
          <t>8-10 классы</t>
        </is>
      </c>
      <c r="I19" s="2" t="inlineStr">
        <is>
          <t>Запланировано</t>
        </is>
      </c>
      <c r="J19" s="2" t="inlineStr">
        <is>
          <t>Личные финансы</t>
        </is>
      </c>
      <c r="K19" s="2" t="inlineStr">
        <is>
          <t>+7 (900) 000-00-02</t>
        </is>
      </c>
    </row>
    <row r="20">
      <c r="A20" s="2" t="n">
        <v>19</v>
      </c>
      <c r="B20" s="2" t="inlineStr">
        <is>
          <t>Профориентационная встреча с вузом</t>
        </is>
      </c>
      <c r="C20" s="2" t="inlineStr">
        <is>
          <t>Профориентация</t>
        </is>
      </c>
      <c r="D20" s="3" t="n">
        <v>46318</v>
      </c>
      <c r="E20" s="3" t="n">
        <v>46318</v>
      </c>
      <c r="F20" s="2" t="inlineStr">
        <is>
          <t>Волкова Наталья Андреевна</t>
        </is>
      </c>
      <c r="G20" s="2" t="inlineStr">
        <is>
          <t>Актовый зал</t>
        </is>
      </c>
      <c r="H20" s="2" t="inlineStr">
        <is>
          <t>10-11 классы</t>
        </is>
      </c>
      <c r="I20" s="2" t="inlineStr">
        <is>
          <t>Запланировано</t>
        </is>
      </c>
      <c r="J20" s="2" t="inlineStr">
        <is>
          <t>Презентация образовательных программ</t>
        </is>
      </c>
      <c r="K20" s="2" t="inlineStr">
        <is>
          <t>+7 (900) 000-00-03</t>
        </is>
      </c>
    </row>
    <row r="21">
      <c r="A21" s="2" t="n">
        <v>20</v>
      </c>
      <c r="B21" s="2" t="inlineStr">
        <is>
          <t>Конкурс сочинений</t>
        </is>
      </c>
      <c r="C21" s="2" t="inlineStr">
        <is>
          <t>Творческое развитие</t>
        </is>
      </c>
      <c r="D21" s="3" t="n">
        <v>46321</v>
      </c>
      <c r="E21" s="3" t="n">
        <v>46325</v>
      </c>
      <c r="F21" s="2" t="inlineStr">
        <is>
          <t>Петрова Анна Викторовна</t>
        </is>
      </c>
      <c r="G21" s="2" t="inlineStr">
        <is>
          <t>Библиотека</t>
        </is>
      </c>
      <c r="H21" s="2" t="inlineStr">
        <is>
          <t>5-11 классы</t>
        </is>
      </c>
      <c r="I21" s="2" t="inlineStr">
        <is>
          <t>Запланировано</t>
        </is>
      </c>
      <c r="J21" s="2" t="inlineStr">
        <is>
          <t>Школьный этап</t>
        </is>
      </c>
      <c r="K21" s="2" t="inlineStr">
        <is>
          <t>+7 (900) 000-00-04</t>
        </is>
      </c>
    </row>
    <row r="22">
      <c r="A22" s="2" t="n">
        <v>21</v>
      </c>
      <c r="B22" s="2" t="inlineStr">
        <is>
          <t>Выставка рисунков «Моя Россия»</t>
        </is>
      </c>
      <c r="C22" s="2" t="inlineStr">
        <is>
          <t>Патриотическое воспитание</t>
        </is>
      </c>
      <c r="D22" s="3" t="n">
        <v>46322</v>
      </c>
      <c r="E22" s="3" t="n">
        <v>46325</v>
      </c>
      <c r="F22" s="2" t="inlineStr">
        <is>
          <t>Смирнова Ольга Игоревна</t>
        </is>
      </c>
      <c r="G22" s="2" t="inlineStr">
        <is>
          <t>Библиотека</t>
        </is>
      </c>
      <c r="H22" s="2" t="inlineStr">
        <is>
          <t>1-7 классы</t>
        </is>
      </c>
      <c r="I22" s="2" t="inlineStr">
        <is>
          <t>Запланировано</t>
        </is>
      </c>
      <c r="J22" s="2" t="inlineStr">
        <is>
          <t>Творческие работы</t>
        </is>
      </c>
      <c r="K22" s="2" t="inlineStr">
        <is>
          <t>+7 (900) 000-00-05</t>
        </is>
      </c>
    </row>
    <row r="23">
      <c r="A23" s="2" t="n">
        <v>22</v>
      </c>
      <c r="B23" s="2" t="inlineStr">
        <is>
          <t>Тренировка по эвакуации</t>
        </is>
      </c>
      <c r="C23" s="2" t="inlineStr">
        <is>
          <t>Безопасность</t>
        </is>
      </c>
      <c r="D23" s="3" t="n">
        <v>46323</v>
      </c>
      <c r="E23" s="3" t="n">
        <v>46323</v>
      </c>
      <c r="F23" s="2" t="inlineStr">
        <is>
          <t>Морозов Алексей Викторович</t>
        </is>
      </c>
      <c r="G23" s="2" t="inlineStr">
        <is>
          <t>Школа</t>
        </is>
      </c>
      <c r="H23" s="2" t="inlineStr">
        <is>
          <t>1-11 классы</t>
        </is>
      </c>
      <c r="I23" s="2" t="inlineStr">
        <is>
          <t>Запланировано</t>
        </is>
      </c>
      <c r="J23" s="2" t="inlineStr">
        <is>
          <t>Учебная эвакуация</t>
        </is>
      </c>
      <c r="K23" s="2" t="inlineStr">
        <is>
          <t>+7 (900) 000-00-06</t>
        </is>
      </c>
    </row>
    <row r="24">
      <c r="A24" s="2" t="n">
        <v>23</v>
      </c>
      <c r="B24" s="2" t="inlineStr">
        <is>
          <t>Лекция о цифровой безопасности</t>
        </is>
      </c>
      <c r="C24" s="2" t="inlineStr">
        <is>
          <t>Информационная безопасность</t>
        </is>
      </c>
      <c r="D24" s="3" t="n">
        <v>46324</v>
      </c>
      <c r="E24" s="3" t="n">
        <v>46324</v>
      </c>
      <c r="F24" s="2" t="inlineStr">
        <is>
          <t>Федоров Артем Викторович</t>
        </is>
      </c>
      <c r="G24" s="2" t="inlineStr">
        <is>
          <t>Каб. информатики</t>
        </is>
      </c>
      <c r="H24" s="2" t="inlineStr">
        <is>
          <t>7-11 классы</t>
        </is>
      </c>
      <c r="I24" s="2" t="inlineStr">
        <is>
          <t>Запланировано</t>
        </is>
      </c>
      <c r="J24" s="2" t="inlineStr">
        <is>
          <t>Безопасность в интернете</t>
        </is>
      </c>
      <c r="K24" s="2" t="inlineStr">
        <is>
          <t>+7 (900) 000-00-07</t>
        </is>
      </c>
    </row>
    <row r="25">
      <c r="A25" s="2" t="n">
        <v>24</v>
      </c>
      <c r="B25" s="2" t="inlineStr">
        <is>
          <t>Библиотечный урок «Неделя книги»</t>
        </is>
      </c>
      <c r="C25" s="2" t="inlineStr">
        <is>
          <t>Культурно-досуговая работа</t>
        </is>
      </c>
      <c r="D25" s="3" t="n">
        <v>46328</v>
      </c>
      <c r="E25" s="3" t="n">
        <v>46332</v>
      </c>
      <c r="F25" s="2" t="inlineStr">
        <is>
          <t>Лебедева Татьяна Павловна</t>
        </is>
      </c>
      <c r="G25" s="2" t="inlineStr">
        <is>
          <t>Библиотека</t>
        </is>
      </c>
      <c r="H25" s="2" t="inlineStr">
        <is>
          <t>5-7 классы</t>
        </is>
      </c>
      <c r="I25" s="2" t="inlineStr">
        <is>
          <t>Запланировано</t>
        </is>
      </c>
      <c r="J25" s="2" t="inlineStr">
        <is>
          <t>Чтение и обсуждение</t>
        </is>
      </c>
      <c r="K25" s="2" t="inlineStr">
        <is>
          <t>+7 (900) 000-00-08</t>
        </is>
      </c>
    </row>
    <row r="26">
      <c r="A26" s="2" t="n">
        <v>25</v>
      </c>
      <c r="B26" s="2" t="inlineStr">
        <is>
          <t>День народного единства: классные часы</t>
        </is>
      </c>
      <c r="C26" s="2" t="inlineStr">
        <is>
          <t>Патриотическое воспитание</t>
        </is>
      </c>
      <c r="D26" s="3" t="n">
        <v>46329</v>
      </c>
      <c r="E26" s="3" t="n">
        <v>46329</v>
      </c>
      <c r="F26" s="2" t="inlineStr">
        <is>
          <t>Смирнова Ольга Игоревна</t>
        </is>
      </c>
      <c r="G26" s="2" t="inlineStr">
        <is>
          <t>Кабинеты</t>
        </is>
      </c>
      <c r="H26" s="2" t="inlineStr">
        <is>
          <t>1-11 классы</t>
        </is>
      </c>
      <c r="I26" s="2" t="inlineStr">
        <is>
          <t>Запланировано</t>
        </is>
      </c>
      <c r="J26" s="2" t="inlineStr">
        <is>
          <t>Тематические занятия</t>
        </is>
      </c>
      <c r="K26" s="2" t="inlineStr">
        <is>
          <t>+7 (900) 000-00-01</t>
        </is>
      </c>
    </row>
    <row r="27">
      <c r="A27" s="2" t="n">
        <v>26</v>
      </c>
      <c r="B27" s="2" t="inlineStr">
        <is>
          <t>Школьный турнир по шахматам</t>
        </is>
      </c>
      <c r="C27" s="2" t="inlineStr">
        <is>
          <t>Физическое воспитание</t>
        </is>
      </c>
      <c r="D27" s="3" t="n">
        <v>46331</v>
      </c>
      <c r="E27" s="3" t="n">
        <v>46331</v>
      </c>
      <c r="F27" s="2" t="inlineStr">
        <is>
          <t>Кузнецов Дмитрий Олегович</t>
        </is>
      </c>
      <c r="G27" s="2" t="inlineStr">
        <is>
          <t>Спортивный зал</t>
        </is>
      </c>
      <c r="H27" s="2" t="inlineStr">
        <is>
          <t>5-11 классы</t>
        </is>
      </c>
      <c r="I27" s="2" t="inlineStr">
        <is>
          <t>Запланировано</t>
        </is>
      </c>
      <c r="J27" s="2" t="inlineStr">
        <is>
          <t>Личное первенство</t>
        </is>
      </c>
      <c r="K27" s="2" t="inlineStr">
        <is>
          <t>+7 (900) 000-00-02</t>
        </is>
      </c>
    </row>
    <row r="28">
      <c r="A28" s="2" t="n">
        <v>27</v>
      </c>
      <c r="B28" s="2" t="inlineStr">
        <is>
          <t>Контрольная работа по физике</t>
        </is>
      </c>
      <c r="C28" s="2" t="inlineStr">
        <is>
          <t>Контроль знаний</t>
        </is>
      </c>
      <c r="D28" s="3" t="n">
        <v>46332</v>
      </c>
      <c r="E28" s="3" t="n">
        <v>46332</v>
      </c>
      <c r="F28" s="2" t="inlineStr">
        <is>
          <t>Захаров Михаил Ильич</t>
        </is>
      </c>
      <c r="G28" s="2" t="inlineStr">
        <is>
          <t>Каб. 302</t>
        </is>
      </c>
      <c r="H28" s="2" t="inlineStr">
        <is>
          <t>10 класс</t>
        </is>
      </c>
      <c r="I28" s="2" t="inlineStr">
        <is>
          <t>Запланировано</t>
        </is>
      </c>
      <c r="J28" s="2" t="inlineStr">
        <is>
          <t>Итог темы</t>
        </is>
      </c>
      <c r="K28" s="2" t="inlineStr">
        <is>
          <t>+7 (900) 000-00-03</t>
        </is>
      </c>
    </row>
    <row r="29">
      <c r="A29" s="2" t="n">
        <v>28</v>
      </c>
      <c r="B29" s="2" t="inlineStr">
        <is>
          <t>Всероссийский урок информатики</t>
        </is>
      </c>
      <c r="C29" s="2" t="inlineStr">
        <is>
          <t>Учебная деятельность</t>
        </is>
      </c>
      <c r="D29" s="3" t="n">
        <v>46335</v>
      </c>
      <c r="E29" s="3" t="n">
        <v>46335</v>
      </c>
      <c r="F29" s="2" t="inlineStr">
        <is>
          <t>Федоров Артем Викторович</t>
        </is>
      </c>
      <c r="G29" s="2" t="inlineStr">
        <is>
          <t>Каб. информатики</t>
        </is>
      </c>
      <c r="H29" s="2" t="inlineStr">
        <is>
          <t>8-11 классы</t>
        </is>
      </c>
      <c r="I29" s="2" t="inlineStr">
        <is>
          <t>Запланировано</t>
        </is>
      </c>
      <c r="J29" s="2" t="inlineStr">
        <is>
          <t>Открытый урок</t>
        </is>
      </c>
      <c r="K29" s="2" t="inlineStr">
        <is>
          <t>+7 (900) 000-00-04</t>
        </is>
      </c>
    </row>
    <row r="30">
      <c r="A30" s="2" t="n">
        <v>29</v>
      </c>
      <c r="B30" s="2" t="inlineStr">
        <is>
          <t>Акция «Мы против буллинга»</t>
        </is>
      </c>
      <c r="C30" s="2" t="inlineStr">
        <is>
          <t>Профилактическая работа</t>
        </is>
      </c>
      <c r="D30" s="3" t="n">
        <v>46336</v>
      </c>
      <c r="E30" s="3" t="n">
        <v>46339</v>
      </c>
      <c r="F30" s="2" t="inlineStr">
        <is>
          <t>Белова Ирина Сергеевна</t>
        </is>
      </c>
      <c r="G30" s="2" t="inlineStr">
        <is>
          <t>Актовый зал</t>
        </is>
      </c>
      <c r="H30" s="2" t="inlineStr">
        <is>
          <t>5-11 классы</t>
        </is>
      </c>
      <c r="I30" s="2" t="inlineStr">
        <is>
          <t>Запланировано</t>
        </is>
      </c>
      <c r="J30" s="2" t="inlineStr">
        <is>
          <t>Классные часы</t>
        </is>
      </c>
      <c r="K30" s="2" t="inlineStr">
        <is>
          <t>+7 (900) 000-00-05</t>
        </is>
      </c>
    </row>
    <row r="31">
      <c r="A31" s="2" t="n">
        <v>30</v>
      </c>
      <c r="B31" s="2" t="inlineStr">
        <is>
          <t>Конкурс «Безопасный интернет»</t>
        </is>
      </c>
      <c r="C31" s="2" t="inlineStr">
        <is>
          <t>Информационная безопасность</t>
        </is>
      </c>
      <c r="D31" s="3" t="n">
        <v>46337</v>
      </c>
      <c r="E31" s="3" t="n">
        <v>46339</v>
      </c>
      <c r="F31" s="2" t="inlineStr">
        <is>
          <t>Федоров Артем Викторович</t>
        </is>
      </c>
      <c r="G31" s="2" t="inlineStr">
        <is>
          <t>Каб. информатики</t>
        </is>
      </c>
      <c r="H31" s="2" t="inlineStr">
        <is>
          <t>6-9 классы</t>
        </is>
      </c>
      <c r="I31" s="2" t="inlineStr">
        <is>
          <t>Запланировано</t>
        </is>
      </c>
      <c r="J31" s="2" t="inlineStr">
        <is>
          <t>Плакат и презентация</t>
        </is>
      </c>
      <c r="K31" s="2" t="inlineStr">
        <is>
          <t>+7 (900) 000-00-06</t>
        </is>
      </c>
    </row>
    <row r="32">
      <c r="A32" s="2" t="n">
        <v>31</v>
      </c>
      <c r="B32" s="2" t="inlineStr">
        <is>
          <t>День матери</t>
        </is>
      </c>
      <c r="C32" s="2" t="inlineStr">
        <is>
          <t>Общешкольное мероприятие</t>
        </is>
      </c>
      <c r="D32" s="3" t="n">
        <v>46353</v>
      </c>
      <c r="E32" s="3" t="n">
        <v>46353</v>
      </c>
      <c r="F32" s="2" t="inlineStr">
        <is>
          <t>Орлова Мария Николаевна</t>
        </is>
      </c>
      <c r="G32" s="2" t="inlineStr">
        <is>
          <t>Актовый зал</t>
        </is>
      </c>
      <c r="H32" s="2" t="inlineStr">
        <is>
          <t>1-11 классы</t>
        </is>
      </c>
      <c r="I32" s="2" t="inlineStr">
        <is>
          <t>Запланировано</t>
        </is>
      </c>
      <c r="J32" s="2" t="inlineStr">
        <is>
          <t>Концерт</t>
        </is>
      </c>
      <c r="K32" s="2" t="inlineStr">
        <is>
          <t>+7 (900) 000-00-07</t>
        </is>
      </c>
    </row>
    <row r="33">
      <c r="A33" s="2" t="n">
        <v>32</v>
      </c>
      <c r="B33" s="2" t="inlineStr">
        <is>
          <t>Новогодняя подготовка</t>
        </is>
      </c>
      <c r="C33" s="2" t="inlineStr">
        <is>
          <t>Культурно-досуговая работа</t>
        </is>
      </c>
      <c r="D33" s="3" t="n">
        <v>46357</v>
      </c>
      <c r="E33" s="3" t="n">
        <v>46381</v>
      </c>
      <c r="F33" s="2" t="inlineStr">
        <is>
          <t>Орлова Мария Николаевна</t>
        </is>
      </c>
      <c r="G33" s="2" t="inlineStr">
        <is>
          <t>Актовый зал</t>
        </is>
      </c>
      <c r="H33" s="2" t="inlineStr">
        <is>
          <t>1-11 классы</t>
        </is>
      </c>
      <c r="I33" s="2" t="inlineStr">
        <is>
          <t>Запланировано</t>
        </is>
      </c>
      <c r="J33" s="2" t="inlineStr">
        <is>
          <t>Оформление и репетиции</t>
        </is>
      </c>
      <c r="K33" s="2" t="inlineStr">
        <is>
          <t>+7 (900) 000-00-08</t>
        </is>
      </c>
    </row>
    <row r="34">
      <c r="A34" s="2" t="n">
        <v>33</v>
      </c>
      <c r="B34" s="2" t="inlineStr">
        <is>
          <t>Итоговая контрольная работа по истории</t>
        </is>
      </c>
      <c r="C34" s="2" t="inlineStr">
        <is>
          <t>Контроль знаний</t>
        </is>
      </c>
      <c r="D34" s="3" t="n">
        <v>46363</v>
      </c>
      <c r="E34" s="3" t="n">
        <v>46363</v>
      </c>
      <c r="F34" s="2" t="inlineStr">
        <is>
          <t>Смирнова Ольга Игоревна</t>
        </is>
      </c>
      <c r="G34" s="2" t="inlineStr">
        <is>
          <t>Каб. 106</t>
        </is>
      </c>
      <c r="H34" s="2" t="inlineStr">
        <is>
          <t>9 класс</t>
        </is>
      </c>
      <c r="I34" s="2" t="inlineStr">
        <is>
          <t>Запланировано</t>
        </is>
      </c>
      <c r="J34" s="2" t="inlineStr">
        <is>
          <t>Итог за полугодие</t>
        </is>
      </c>
      <c r="K34" s="2" t="inlineStr">
        <is>
          <t>+7 (900) 000-00-01</t>
        </is>
      </c>
    </row>
    <row r="35">
      <c r="A35" s="2" t="n">
        <v>34</v>
      </c>
      <c r="B35" s="2" t="inlineStr">
        <is>
          <t>Профилактика правонарушений</t>
        </is>
      </c>
      <c r="C35" s="2" t="inlineStr">
        <is>
          <t>Профилактическая работа</t>
        </is>
      </c>
      <c r="D35" s="3" t="n">
        <v>46364</v>
      </c>
      <c r="E35" s="3" t="n">
        <v>46364</v>
      </c>
      <c r="F35" s="2" t="inlineStr">
        <is>
          <t>Белова Ирина Сергеевна</t>
        </is>
      </c>
      <c r="G35" s="2" t="inlineStr">
        <is>
          <t>Каб. 110</t>
        </is>
      </c>
      <c r="H35" s="2" t="inlineStr">
        <is>
          <t>7-11 классы</t>
        </is>
      </c>
      <c r="I35" s="2" t="inlineStr">
        <is>
          <t>Запланировано</t>
        </is>
      </c>
      <c r="J35" s="2" t="inlineStr">
        <is>
          <t>Беседа</t>
        </is>
      </c>
      <c r="K35" s="2" t="inlineStr">
        <is>
          <t>+7 (900) 000-00-02</t>
        </is>
      </c>
    </row>
    <row r="36">
      <c r="A36" s="2" t="n">
        <v>35</v>
      </c>
      <c r="B36" s="2" t="inlineStr">
        <is>
          <t>Заседание педагогического совета</t>
        </is>
      </c>
      <c r="C36" s="2" t="inlineStr">
        <is>
          <t>Управление ОУ</t>
        </is>
      </c>
      <c r="D36" s="3" t="n">
        <v>46366</v>
      </c>
      <c r="E36" s="3" t="n">
        <v>46366</v>
      </c>
      <c r="F36" s="2" t="inlineStr">
        <is>
          <t>Директор ОУ</t>
        </is>
      </c>
      <c r="G36" s="2" t="inlineStr">
        <is>
          <t>Каб. директора</t>
        </is>
      </c>
      <c r="H36" s="2" t="inlineStr">
        <is>
          <t>Педагоги</t>
        </is>
      </c>
      <c r="I36" s="2" t="inlineStr">
        <is>
          <t>Запланировано</t>
        </is>
      </c>
      <c r="J36" s="2" t="inlineStr">
        <is>
          <t>Итоги первого полугодия</t>
        </is>
      </c>
      <c r="K36" s="2" t="inlineStr">
        <is>
          <t>+7 (900) 000-00-03</t>
        </is>
      </c>
    </row>
    <row r="37">
      <c r="A37" s="2" t="n">
        <v>36</v>
      </c>
      <c r="B37" s="2" t="inlineStr">
        <is>
          <t>Итоговая проверка подготовки к ЕГЭ</t>
        </is>
      </c>
      <c r="C37" s="2" t="inlineStr">
        <is>
          <t>Учебная деятельность</t>
        </is>
      </c>
      <c r="D37" s="3" t="n">
        <v>46370</v>
      </c>
      <c r="E37" s="3" t="n">
        <v>46370</v>
      </c>
      <c r="F37" s="2" t="inlineStr">
        <is>
          <t>Иванова Елена Сергеевна</t>
        </is>
      </c>
      <c r="G37" s="2" t="inlineStr">
        <is>
          <t>Каб. 201</t>
        </is>
      </c>
      <c r="H37" s="2" t="inlineStr">
        <is>
          <t>11 класс</t>
        </is>
      </c>
      <c r="I37" s="2" t="inlineStr">
        <is>
          <t>Запланировано</t>
        </is>
      </c>
      <c r="J37" s="2" t="inlineStr">
        <is>
          <t>Пробный вариант</t>
        </is>
      </c>
      <c r="K37" s="2" t="inlineStr">
        <is>
          <t>+7 (900) 000-00-04</t>
        </is>
      </c>
    </row>
    <row r="38">
      <c r="A38" s="2" t="n">
        <v>37</v>
      </c>
      <c r="B38" s="2" t="inlineStr">
        <is>
          <t>Новогодний праздник</t>
        </is>
      </c>
      <c r="C38" s="2" t="inlineStr">
        <is>
          <t>Общешкольное мероприятие</t>
        </is>
      </c>
      <c r="D38" s="3" t="n">
        <v>46381</v>
      </c>
      <c r="E38" s="3" t="n">
        <v>46381</v>
      </c>
      <c r="F38" s="2" t="inlineStr">
        <is>
          <t>Орлова Мария Николаевна</t>
        </is>
      </c>
      <c r="G38" s="2" t="inlineStr">
        <is>
          <t>Актовый зал</t>
        </is>
      </c>
      <c r="H38" s="2" t="inlineStr">
        <is>
          <t>1-11 классы</t>
        </is>
      </c>
      <c r="I38" s="2" t="inlineStr">
        <is>
          <t>Запланировано</t>
        </is>
      </c>
      <c r="J38" s="2" t="inlineStr">
        <is>
          <t>Праздничная программа</t>
        </is>
      </c>
      <c r="K38" s="2" t="inlineStr">
        <is>
          <t>+7 (900) 000-00-05</t>
        </is>
      </c>
    </row>
  </sheetData>
  <autoFilter ref="A1:K38"/>
  <conditionalFormatting sqref="A2:K38">
    <cfRule type="expression" priority="1" dxfId="0">
      <formula>$E2&lt;TODAY()</formula>
    </cfRule>
    <cfRule type="expression" priority="2" dxfId="1">
      <formula>AND($D2&gt;=TODAY()+1,$D2&lt;=TODAY()+3)</formula>
    </cfRule>
  </conditionalFormatting>
  <dataValidations count="2">
    <dataValidation sqref="C2:C38" showDropDown="0" showInputMessage="0" showErrorMessage="0" allowBlank="1" type="list">
      <formula1>'Справочники'!$A$2:$A$17</formula1>
    </dataValidation>
    <dataValidation sqref="I2:I38" showDropDown="0" showInputMessage="0" showErrorMessage="0" allowBlank="1" type="list">
      <formula1>'Справочники'!$C$2:$C$5</formula1>
    </dataValidation>
  </dataValidations>
  <conditionalFormatting sqref="A2:K38">
    <cfRule type="expression" dxfId="2" priority="1" stopIfTrue="1">
      <formula>AND($E2&lt;&gt;"",$E2&lt;TODAY())</formula>
    </cfRule>
    <cfRule type="expression" dxfId="3" priority="2">
      <formula>AND($D2&lt;&gt;"",$D2&gt;=TODAY()+1,$D2&lt;=TODAY()+3)</formula>
    </cfRule>
  </conditionalFormatting>
  <pageMargins left="0.75" right="0.75" top="1" bottom="1" header="0.5" footer="0.5"/>
  <pageSetup orientation="landscape" fitToWidth="1"/>
  <headerFooter>
    <oddHeader/>
    <oddFooter>&amp;CМБОУ СОШ №1 | План работы ОУ | Стр. &amp;P из &amp;N&amp;RПодготовлено &amp;D</oddFooter>
    <evenHeader/>
    <evenFooter/>
    <firstHeader/>
    <firstFooter/>
  </headerFooter>
  <tableParts count="1">
    <tablePart ns1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3" max="3"/>
  </cols>
  <sheetData>
    <row r="1">
      <c r="A1" t="inlineStr">
        <is>
          <t>Направления</t>
        </is>
      </c>
      <c r="C1" t="inlineStr">
        <is>
          <t>Статусы</t>
        </is>
      </c>
    </row>
    <row r="2">
      <c r="A2" t="inlineStr">
        <is>
          <t>Безопасность</t>
        </is>
      </c>
      <c r="C2" t="inlineStr">
        <is>
          <t>Запланировано</t>
        </is>
      </c>
    </row>
    <row r="3">
      <c r="A3" t="inlineStr">
        <is>
          <t>Здоровьесбережение</t>
        </is>
      </c>
      <c r="C3" t="inlineStr">
        <is>
          <t>Выполнено</t>
        </is>
      </c>
    </row>
    <row r="4">
      <c r="A4" t="inlineStr">
        <is>
          <t>Информационная безопасность</t>
        </is>
      </c>
      <c r="C4" t="inlineStr">
        <is>
          <t>Перенесено</t>
        </is>
      </c>
    </row>
    <row r="5">
      <c r="A5" t="inlineStr">
        <is>
          <t>Контроль знаний</t>
        </is>
      </c>
      <c r="C5" t="inlineStr">
        <is>
          <t>Отменено</t>
        </is>
      </c>
    </row>
    <row r="6">
      <c r="A6" t="inlineStr">
        <is>
          <t>Культурно-досуговая работа</t>
        </is>
      </c>
    </row>
    <row r="7">
      <c r="A7" t="inlineStr">
        <is>
          <t>Общешкольное мероприятие</t>
        </is>
      </c>
    </row>
    <row r="8">
      <c r="A8" t="inlineStr">
        <is>
          <t>Патриотическое воспитание</t>
        </is>
      </c>
    </row>
    <row r="9">
      <c r="A9" t="inlineStr">
        <is>
          <t>Профилактическая работа</t>
        </is>
      </c>
    </row>
    <row r="10">
      <c r="A10" t="inlineStr">
        <is>
          <t>Профориентация</t>
        </is>
      </c>
    </row>
    <row r="11">
      <c r="A11" t="inlineStr">
        <is>
          <t>Работа с родителями</t>
        </is>
      </c>
    </row>
    <row r="12">
      <c r="A12" t="inlineStr">
        <is>
          <t>Социально-экономическое воспитание</t>
        </is>
      </c>
    </row>
    <row r="13">
      <c r="A13" t="inlineStr">
        <is>
          <t>Творческое развитие</t>
        </is>
      </c>
    </row>
    <row r="14">
      <c r="A14" t="inlineStr">
        <is>
          <t>Управление ОУ</t>
        </is>
      </c>
    </row>
    <row r="15">
      <c r="A15" t="inlineStr">
        <is>
          <t>Учебная деятельность</t>
        </is>
      </c>
    </row>
    <row r="16">
      <c r="A16" t="inlineStr">
        <is>
          <t>Физическое воспитание</t>
        </is>
      </c>
    </row>
    <row r="17">
      <c r="A17" t="inlineStr">
        <is>
          <t>Экологическое воспитание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x14="http://schemas.microsoft.com/office/spreadsheetml/2009/9/main" xmlns:xm="http://schemas.microsoft.com/office/excel/2006/main">
  <sheetPr>
    <outlinePr summaryBelow="1" summaryRight="1"/>
    <pageSetUpPr/>
  </sheetPr>
  <dimension ref="A1:F3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14" customWidth="1" min="3" max="3"/>
    <col width="20" customWidth="1" min="4" max="4"/>
    <col width="28" customWidth="1" min="5" max="5"/>
    <col width="24" customWidth="1" min="6" max="6"/>
  </cols>
  <sheetData>
    <row r="1">
      <c r="A1" s="4" t="inlineStr">
        <is>
          <t>ОПЕРАТИВНЫЙ ОТЧЁТ О ПЛАНЕ РАБОТЫ ОУ</t>
        </is>
      </c>
    </row>
    <row r="3">
      <c r="A3" t="inlineStr">
        <is>
          <t>Наименование ОУ:</t>
        </is>
      </c>
      <c r="B3" t="inlineStr">
        <is>
          <t>МБОУ СОШ №1</t>
        </is>
      </c>
    </row>
    <row r="4">
      <c r="A4" t="inlineStr">
        <is>
          <t>Ответственный:</t>
        </is>
      </c>
      <c r="B4" t="inlineStr">
        <is>
          <t>Иванов Иван Иванович</t>
        </is>
      </c>
    </row>
    <row r="5">
      <c r="A5" t="inlineStr">
        <is>
          <t>Телефон:</t>
        </is>
      </c>
      <c r="B5" t="inlineStr">
        <is>
          <t>+7 (900) 000-00-00</t>
        </is>
      </c>
    </row>
    <row r="6">
      <c r="A6" t="inlineStr">
        <is>
          <t>Дата подготовки:</t>
        </is>
      </c>
      <c r="B6" s="5" t="n">
        <v>46297</v>
      </c>
    </row>
    <row r="8">
      <c r="A8" s="6" t="inlineStr">
        <is>
          <t>Показатель</t>
        </is>
      </c>
      <c r="B8" s="6" t="inlineStr">
        <is>
          <t>Значение</t>
        </is>
      </c>
      <c r="D8" s="6" t="inlineStr">
        <is>
          <t>Месяц</t>
        </is>
      </c>
      <c r="E8" s="6" t="inlineStr">
        <is>
          <t>Количество мероприятий</t>
        </is>
      </c>
      <c r="F8" s="6" t="inlineStr">
        <is>
          <t>Визуализация</t>
        </is>
      </c>
    </row>
    <row r="9">
      <c r="A9" t="inlineStr">
        <is>
          <t>Всего мероприятий</t>
        </is>
      </c>
      <c r="B9">
        <f>COUNTA('База данных'!B2:B38)</f>
        <v/>
      </c>
      <c r="D9" t="inlineStr">
        <is>
          <t>Сентябрь</t>
        </is>
      </c>
      <c r="E9">
        <f>COUNTIFS('База данных'!D2:D38,"&gt;="&amp;DATE(2026,9,1),'База данных'!D2:D38,"&lt;"&amp;DATE(2026,10,1))</f>
        <v/>
      </c>
      <c r="F9"/>
    </row>
    <row r="10">
      <c r="A10" t="inlineStr">
        <is>
          <t>Мероприятий в октябре 2026</t>
        </is>
      </c>
      <c r="B10">
        <f>COUNTIFS('База данных'!D2:D38,"&gt;="&amp;DATE(2026,10,1),'База данных'!D2:D38,"&lt;"&amp;DATE(2026,11,1))</f>
        <v/>
      </c>
      <c r="D10" t="inlineStr">
        <is>
          <t>Октябрь</t>
        </is>
      </c>
      <c r="E10">
        <f>COUNTIFS('База данных'!D2:D38,"&gt;="&amp;DATE(2026,10,1),'База данных'!D2:D38,"&lt;"&amp;DATE(2026,11,1))</f>
        <v/>
      </c>
      <c r="F10"/>
    </row>
    <row r="11">
      <c r="A11" t="inlineStr">
        <is>
          <t>Мероприятий в ноябре 2026</t>
        </is>
      </c>
      <c r="B11">
        <f>COUNTIFS('База данных'!D2:D38,"&gt;="&amp;DATE(2026,11,1),'База данных'!D2:D38,"&lt;"&amp;DATE(2026,12,1))</f>
        <v/>
      </c>
      <c r="D11" t="inlineStr">
        <is>
          <t>Ноябрь</t>
        </is>
      </c>
      <c r="E11">
        <f>COUNTIFS('База данных'!D2:D38,"&gt;="&amp;DATE(2026,11,1),'База данных'!D2:D38,"&lt;"&amp;DATE(2026,12,1))</f>
        <v/>
      </c>
      <c r="F11"/>
    </row>
    <row r="12">
      <c r="A12" t="inlineStr">
        <is>
          <t>Мероприятий в декабре 2026</t>
        </is>
      </c>
      <c r="B12">
        <f>COUNTIFS('База данных'!D2:D38,"&gt;="&amp;DATE(2026,12,1),'База данных'!D2:D38,"&lt;"&amp;DATE(2027,1,1))</f>
        <v/>
      </c>
      <c r="D12" t="inlineStr">
        <is>
          <t>Декабрь</t>
        </is>
      </c>
      <c r="E12">
        <f>COUNTIFS('База данных'!D2:D38,"&gt;="&amp;DATE(2026,12,1),'База данных'!D2:D38,"&lt;"&amp;DATE(2027,1,1))</f>
        <v/>
      </c>
      <c r="F12"/>
    </row>
    <row r="15">
      <c r="A15" s="7" t="inlineStr">
        <is>
          <t>Отчёт: мероприятия в октябре 2026 года</t>
        </is>
      </c>
    </row>
    <row r="16">
      <c r="A16" s="6" t="inlineStr">
        <is>
          <t>Мероприятие</t>
        </is>
      </c>
      <c r="B16" s="6" t="inlineStr">
        <is>
          <t>Направление</t>
        </is>
      </c>
      <c r="C16" s="6" t="inlineStr">
        <is>
          <t>Начало</t>
        </is>
      </c>
      <c r="D16" s="6" t="inlineStr">
        <is>
          <t>Окончание</t>
        </is>
      </c>
      <c r="E16" s="6" t="inlineStr">
        <is>
          <t>Ответственный</t>
        </is>
      </c>
      <c r="F16" s="6" t="inlineStr">
        <is>
          <t>Место</t>
        </is>
      </c>
    </row>
    <row r="17">
      <c r="A17" t="inlineStr">
        <is>
          <t>Диагностическая работа по математике</t>
        </is>
      </c>
      <c r="B17" t="inlineStr">
        <is>
          <t>Контроль знаний</t>
        </is>
      </c>
      <c r="C17" s="5" t="n">
        <v>46300</v>
      </c>
      <c r="D17" s="5" t="n">
        <v>46300</v>
      </c>
      <c r="E17" t="inlineStr">
        <is>
          <t>Сидоров Павел Андреевич</t>
        </is>
      </c>
      <c r="F17" t="inlineStr">
        <is>
          <t>Каб. 205</t>
        </is>
      </c>
    </row>
    <row r="18">
      <c r="A18" t="inlineStr">
        <is>
          <t>Школьная олимпиада по русскому языку</t>
        </is>
      </c>
      <c r="B18" t="inlineStr">
        <is>
          <t>Учебная деятельность</t>
        </is>
      </c>
      <c r="C18" s="5" t="n">
        <v>46301</v>
      </c>
      <c r="D18" s="5" t="n">
        <v>46301</v>
      </c>
      <c r="E18" t="inlineStr">
        <is>
          <t>Петрова Анна Викторовна</t>
        </is>
      </c>
      <c r="F18" t="inlineStr">
        <is>
          <t>Актовый зал</t>
        </is>
      </c>
    </row>
    <row r="19">
      <c r="A19" t="inlineStr">
        <is>
          <t>Школьная олимпиада по математике</t>
        </is>
      </c>
      <c r="B19" t="inlineStr">
        <is>
          <t>Учебная деятельность</t>
        </is>
      </c>
      <c r="C19" s="5" t="n">
        <v>46303</v>
      </c>
      <c r="D19" s="5" t="n">
        <v>46303</v>
      </c>
      <c r="E19" t="inlineStr">
        <is>
          <t>Иванова Елена Сергеевна</t>
        </is>
      </c>
      <c r="F19" t="inlineStr">
        <is>
          <t>Каб. 201</t>
        </is>
      </c>
    </row>
    <row r="20">
      <c r="A20" t="inlineStr">
        <is>
          <t>Сдача нормативов ГТО</t>
        </is>
      </c>
      <c r="B20" t="inlineStr">
        <is>
          <t>Физическое воспитание</t>
        </is>
      </c>
      <c r="C20" s="5" t="n">
        <v>46304</v>
      </c>
      <c r="D20" s="5" t="n">
        <v>46304</v>
      </c>
      <c r="E20" t="inlineStr">
        <is>
          <t>Кузнецов Дмитрий Олегович</t>
        </is>
      </c>
      <c r="F20" t="inlineStr">
        <is>
          <t>Спортивный зал</t>
        </is>
      </c>
    </row>
    <row r="21">
      <c r="A21" t="inlineStr">
        <is>
          <t>Кубановедение: тематический классный час</t>
        </is>
      </c>
      <c r="B21" t="inlineStr">
        <is>
          <t>Патриотическое воспитание</t>
        </is>
      </c>
      <c r="C21" s="5" t="n">
        <v>46305</v>
      </c>
      <c r="D21" s="5" t="n">
        <v>46305</v>
      </c>
      <c r="E21" t="inlineStr">
        <is>
          <t>Смирнова Ольга Игоревна</t>
        </is>
      </c>
      <c r="F21" t="inlineStr">
        <is>
          <t>Каб. 105</t>
        </is>
      </c>
    </row>
    <row r="22">
      <c r="A22" t="inlineStr">
        <is>
          <t>День учителя</t>
        </is>
      </c>
      <c r="B22" t="inlineStr">
        <is>
          <t>Общешкольное мероприятие</t>
        </is>
      </c>
      <c r="C22" s="5" t="n">
        <v>46297</v>
      </c>
      <c r="D22" s="5" t="n">
        <v>46297</v>
      </c>
      <c r="E22" t="inlineStr">
        <is>
          <t>Орлова Мария Николаевна</t>
        </is>
      </c>
      <c r="F22" t="inlineStr">
        <is>
          <t>Актовый зал</t>
        </is>
      </c>
    </row>
    <row r="23">
      <c r="A23" t="inlineStr">
        <is>
          <t>Осенний бал</t>
        </is>
      </c>
      <c r="B23" t="inlineStr">
        <is>
          <t>Культурно-досуговая работа</t>
        </is>
      </c>
      <c r="C23" s="5" t="n">
        <v>46311</v>
      </c>
      <c r="D23" s="5" t="n">
        <v>46311</v>
      </c>
      <c r="E23" t="inlineStr">
        <is>
          <t>Орлова Мария Николаевна</t>
        </is>
      </c>
      <c r="F23" t="inlineStr">
        <is>
          <t>Актовый зал</t>
        </is>
      </c>
    </row>
    <row r="24">
      <c r="A24" t="inlineStr">
        <is>
          <t>Неделя безопасности дорожного движения</t>
        </is>
      </c>
      <c r="B24" t="inlineStr">
        <is>
          <t>Безопасность</t>
        </is>
      </c>
      <c r="C24" s="5" t="n">
        <v>46307</v>
      </c>
      <c r="D24" s="5" t="n">
        <v>46311</v>
      </c>
      <c r="E24" t="inlineStr">
        <is>
          <t>Морозов Алексей Викторович</t>
        </is>
      </c>
      <c r="F24" t="inlineStr">
        <is>
          <t>Школа</t>
        </is>
      </c>
    </row>
    <row r="25">
      <c r="A25" t="inlineStr">
        <is>
          <t>Инструктаж по пожарной безопасности</t>
        </is>
      </c>
      <c r="B25" t="inlineStr">
        <is>
          <t>Безопасность</t>
        </is>
      </c>
      <c r="C25" s="5" t="n">
        <v>46308</v>
      </c>
      <c r="D25" s="5" t="n">
        <v>46308</v>
      </c>
      <c r="E25" t="inlineStr">
        <is>
          <t>Морозов Алексей Викторович</t>
        </is>
      </c>
      <c r="F25" t="inlineStr">
        <is>
          <t>Актовый зал</t>
        </is>
      </c>
    </row>
    <row r="26">
      <c r="A26" t="inlineStr">
        <is>
          <t>Родительское собрание 9 классов</t>
        </is>
      </c>
      <c r="B26" t="inlineStr">
        <is>
          <t>Работа с родителями</t>
        </is>
      </c>
      <c r="C26" s="5" t="n">
        <v>46309</v>
      </c>
      <c r="D26" s="5" t="n">
        <v>46309</v>
      </c>
      <c r="E26" t="inlineStr">
        <is>
          <t>Волкова Наталья Андреевна</t>
        </is>
      </c>
      <c r="F26" t="inlineStr">
        <is>
          <t>Актовый зал</t>
        </is>
      </c>
    </row>
    <row r="27">
      <c r="A27" t="inlineStr">
        <is>
          <t>Родительское собрание 11 классов</t>
        </is>
      </c>
      <c r="B27" t="inlineStr">
        <is>
          <t>Работа с родителями</t>
        </is>
      </c>
      <c r="C27" s="5" t="n">
        <v>46310</v>
      </c>
      <c r="D27" s="5" t="n">
        <v>46310</v>
      </c>
      <c r="E27" t="inlineStr">
        <is>
          <t>Волкова Наталья Андреевна</t>
        </is>
      </c>
      <c r="F27" t="inlineStr">
        <is>
          <t>Актовый зал</t>
        </is>
      </c>
    </row>
    <row r="28">
      <c r="A28" t="inlineStr">
        <is>
          <t>Профилактическая беседа о вредных привычках</t>
        </is>
      </c>
      <c r="B28" t="inlineStr">
        <is>
          <t>Здоровьесбережение</t>
        </is>
      </c>
      <c r="C28" s="5" t="n">
        <v>46314</v>
      </c>
      <c r="D28" s="5" t="n">
        <v>46314</v>
      </c>
      <c r="E28" t="inlineStr">
        <is>
          <t>Белова Ирина Сергеевна</t>
        </is>
      </c>
      <c r="F28" t="inlineStr">
        <is>
          <t>Каб. 110</t>
        </is>
      </c>
    </row>
    <row r="29">
      <c r="A29" t="inlineStr">
        <is>
          <t>День здоровья</t>
        </is>
      </c>
      <c r="B29" t="inlineStr">
        <is>
          <t>Здоровьесбережение</t>
        </is>
      </c>
      <c r="C29" s="5" t="n">
        <v>46315</v>
      </c>
      <c r="D29" s="5" t="n">
        <v>46315</v>
      </c>
      <c r="E29" t="inlineStr">
        <is>
          <t>Кузнецов Дмитрий Олегович</t>
        </is>
      </c>
      <c r="F29" t="inlineStr">
        <is>
          <t>Стадион</t>
        </is>
      </c>
    </row>
    <row r="30">
      <c r="A30" t="inlineStr">
        <is>
          <t>Экологическая акция «Чистый двор»</t>
        </is>
      </c>
      <c r="B30" t="inlineStr">
        <is>
          <t>Экологическое воспитание</t>
        </is>
      </c>
      <c r="C30" s="5" t="n">
        <v>46316</v>
      </c>
      <c r="D30" s="5" t="n">
        <v>46316</v>
      </c>
      <c r="E30" t="inlineStr">
        <is>
          <t>Лебедева Татьяна Павловна</t>
        </is>
      </c>
      <c r="F30" t="inlineStr">
        <is>
          <t>Территория школы</t>
        </is>
      </c>
    </row>
    <row r="31">
      <c r="A31" t="inlineStr">
        <is>
          <t>Урок финансовой грамотности</t>
        </is>
      </c>
      <c r="B31" t="inlineStr">
        <is>
          <t>Социально-экономическое воспитание</t>
        </is>
      </c>
      <c r="C31" s="5" t="n">
        <v>46317</v>
      </c>
      <c r="D31" s="5" t="n">
        <v>46317</v>
      </c>
      <c r="E31" t="inlineStr">
        <is>
          <t>Федоров Артем Викторович</t>
        </is>
      </c>
      <c r="F31" t="inlineStr">
        <is>
          <t>Каб. 207</t>
        </is>
      </c>
    </row>
    <row r="32">
      <c r="A32" t="inlineStr">
        <is>
          <t>Профориентационная встреча с вузом</t>
        </is>
      </c>
      <c r="B32" t="inlineStr">
        <is>
          <t>Профориентация</t>
        </is>
      </c>
      <c r="C32" s="5" t="n">
        <v>46318</v>
      </c>
      <c r="D32" s="5" t="n">
        <v>46318</v>
      </c>
      <c r="E32" t="inlineStr">
        <is>
          <t>Волкова Наталья Андреевна</t>
        </is>
      </c>
      <c r="F32" t="inlineStr">
        <is>
          <t>Актовый зал</t>
        </is>
      </c>
    </row>
    <row r="33">
      <c r="A33" t="inlineStr">
        <is>
          <t>Конкурс сочинений</t>
        </is>
      </c>
      <c r="B33" t="inlineStr">
        <is>
          <t>Творческое развитие</t>
        </is>
      </c>
      <c r="C33" s="5" t="n">
        <v>46321</v>
      </c>
      <c r="D33" s="5" t="n">
        <v>46325</v>
      </c>
      <c r="E33" t="inlineStr">
        <is>
          <t>Петрова Анна Викторовна</t>
        </is>
      </c>
      <c r="F33" t="inlineStr">
        <is>
          <t>Библиотека</t>
        </is>
      </c>
    </row>
    <row r="34">
      <c r="A34" t="inlineStr">
        <is>
          <t>Выставка рисунков «Моя Россия»</t>
        </is>
      </c>
      <c r="B34" t="inlineStr">
        <is>
          <t>Патриотическое воспитание</t>
        </is>
      </c>
      <c r="C34" s="5" t="n">
        <v>46322</v>
      </c>
      <c r="D34" s="5" t="n">
        <v>46325</v>
      </c>
      <c r="E34" t="inlineStr">
        <is>
          <t>Смирнова Ольга Игоревна</t>
        </is>
      </c>
      <c r="F34" t="inlineStr">
        <is>
          <t>Библиотека</t>
        </is>
      </c>
    </row>
    <row r="35">
      <c r="A35" t="inlineStr">
        <is>
          <t>Тренировка по эвакуации</t>
        </is>
      </c>
      <c r="B35" t="inlineStr">
        <is>
          <t>Безопасность</t>
        </is>
      </c>
      <c r="C35" s="5" t="n">
        <v>46323</v>
      </c>
      <c r="D35" s="5" t="n">
        <v>46323</v>
      </c>
      <c r="E35" t="inlineStr">
        <is>
          <t>Морозов Алексей Викторович</t>
        </is>
      </c>
      <c r="F35" t="inlineStr">
        <is>
          <t>Школа</t>
        </is>
      </c>
    </row>
    <row r="36">
      <c r="A36" t="inlineStr">
        <is>
          <t>Лекция о цифровой безопасности</t>
        </is>
      </c>
      <c r="B36" t="inlineStr">
        <is>
          <t>Информационная безопасность</t>
        </is>
      </c>
      <c r="C36" s="5" t="n">
        <v>46324</v>
      </c>
      <c r="D36" s="5" t="n">
        <v>46324</v>
      </c>
      <c r="E36" t="inlineStr">
        <is>
          <t>Федоров Артем Викторович</t>
        </is>
      </c>
      <c r="F36" t="inlineStr">
        <is>
          <t>Каб. информатики</t>
        </is>
      </c>
    </row>
  </sheetData>
  <pageMargins left="0.3" right="0.3" top="0.5" bottom="0.5" header="0.2" footer="0.2"/>
  <pageSetup orientation="landscape" fitToWidth="1"/>
  <headerFooter>
    <oddHeader>&amp;LПлан работы ОУ</oddHeader>
    <oddFooter>&amp;CМБОУ СОШ №1 | Оперативный отчёт | Стр. &amp;P из &amp;N&amp;RПодготовлено &amp;D</oddFooter>
    <evenHeader/>
    <evenFooter/>
    <firstHeader/>
    <firstFooter/>
  </headerFooter>
  <drawing xmlns:r="http://schemas.openxmlformats.org/officeDocument/2006/relationships" r:id="rId1"/>
  <extLst>
    <ext uri="{05C60535-1F16-4fd2-B633-F4F36F0B64E0}">
      <x14:sparklineGroups xmlns:xm="http://schemas.microsoft.com/office/excel/2006/main">
        <x14:sparklineGroup type="column" displayEmptyCellsAs="gap">
          <x14:sparklines>
            <x14:sparkline>
              <xm:f>E9:E12</xm:f>
              <xm:sqref>F9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t="inlineStr">
        <is>
          <t>Практика сортировки и фильтрации</t>
        </is>
      </c>
    </row>
    <row r="3">
      <c r="A3" t="inlineStr">
        <is>
          <t>Задание 1:</t>
        </is>
      </c>
      <c r="B3" t="inlineStr">
        <is>
          <t>Отфильтровать мероприятия, где направление = «Безопасность».</t>
        </is>
      </c>
    </row>
    <row r="4">
      <c r="A4" t="inlineStr">
        <is>
          <t>Задание 2:</t>
        </is>
      </c>
      <c r="B4" t="inlineStr">
        <is>
          <t>Отсортировать мероприятия по дате начала от ближайших к самым поздним.</t>
        </is>
      </c>
    </row>
    <row r="5">
      <c r="A5" t="inlineStr">
        <is>
          <t>Задание 3:</t>
        </is>
      </c>
      <c r="B5" t="inlineStr">
        <is>
          <t>Отобрать мероприятия с началом в октябре 2026 года и ответственным «Морозов Алексей Викторович».</t>
        </is>
      </c>
    </row>
    <row r="7">
      <c r="A7" t="inlineStr">
        <is>
          <t>Пользовательский фильтр:</t>
        </is>
      </c>
      <c r="B7" t="inlineStr">
        <is>
          <t>Дата начала &gt;= 01.10.2026 И дата начала &lt;= 31.10.2026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8" t="inlineStr">
        <is>
          <t>Раздел</t>
        </is>
      </c>
      <c r="B1" s="8" t="inlineStr">
        <is>
          <t>Содержание</t>
        </is>
      </c>
    </row>
    <row r="2">
      <c r="A2" s="9" t="inlineStr">
        <is>
          <t>1. Цель</t>
        </is>
      </c>
      <c r="B2" s="9" t="inlineStr">
        <is>
          <t>Создать электронную базу данных «План работы ОУ» для хранения мероприятий и получения оперативных отчётов.</t>
        </is>
      </c>
    </row>
    <row r="3">
      <c r="A3" s="9" t="inlineStr">
        <is>
          <t>2. Структура записи</t>
        </is>
      </c>
      <c r="B3" s="9" t="inlineStr">
        <is>
          <t>Каждая строка — одно мероприятие. Поля: №, наименование, направление, начало, окончание, ответственный, место, класс/группа, статус, примечание.</t>
        </is>
      </c>
    </row>
    <row r="4">
      <c r="A4" s="9" t="inlineStr">
        <is>
          <t>3. Сортировка</t>
        </is>
      </c>
      <c r="B4" s="9" t="inlineStr">
        <is>
          <t>Используется для упорядочивания записей по дате, ответственному, направлению и другим полям.</t>
        </is>
      </c>
    </row>
    <row r="5">
      <c r="A5" s="9" t="inlineStr">
        <is>
          <t>4. Автофильтр</t>
        </is>
      </c>
      <c r="B5" s="9" t="inlineStr">
        <is>
          <t>Позволяет быстро показать только записи, удовлетворяющие выбранному условию.</t>
        </is>
      </c>
    </row>
    <row r="6">
      <c r="A6" s="9" t="inlineStr">
        <is>
          <t>5. Расширенный/пользовательский фильтр</t>
        </is>
      </c>
      <c r="B6" s="9" t="inlineStr">
        <is>
          <t>Используется для сложных условий, например: мероприятия октября и конкретного ответственного.</t>
        </is>
      </c>
    </row>
    <row r="7">
      <c r="A7" s="9" t="inlineStr">
        <is>
          <t>6. Условное форматирование</t>
        </is>
      </c>
      <c r="B7" s="9" t="inlineStr">
        <is>
          <t>Прошедшие мероприятия подсвечиваются красным; мероприятия, начинающиеся через 1–3 дня, — жёлтым.</t>
        </is>
      </c>
    </row>
    <row r="8">
      <c r="A8" s="9" t="inlineStr">
        <is>
          <t>7. Визуализация</t>
        </is>
      </c>
      <c r="B8" s="9" t="inlineStr">
        <is>
          <t>На листе «Отчёт» приведена помесячная сводка и текстовая полосовая визуализация количества мероприятий; в Excel 2016+ её можно заменить встроенными спарклайнами.</t>
        </is>
      </c>
    </row>
    <row r="9">
      <c r="A9" s="9" t="inlineStr">
        <is>
          <t>8. Твёрдая копия</t>
        </is>
      </c>
      <c r="B9" s="9" t="inlineStr">
        <is>
          <t>Для отчёта целесообразно использовать верхний/нижний колонтитул Excel: они автоматически повторяются при печати и позволяют указать название ОУ, дату, страницу и служебную информацию.</t>
        </is>
      </c>
    </row>
    <row r="10">
      <c r="A10" s="9" t="inlineStr">
        <is>
          <t>9. LLM</t>
        </is>
      </c>
      <c r="B10" s="9" t="inlineStr">
        <is>
          <t>LLM можно использовать для генерации вариантов мероприятий, формул, проверки структуры базы, подготовки текстовых пояснений и поиска ошибок. Результат необходимо проверять вручную.</t>
        </is>
      </c>
    </row>
    <row r="11">
      <c r="A11" t="inlineStr">
        <is>
          <t>10. Поддержка LLM</t>
        </is>
      </c>
      <c r="B11" t="inlineStr">
        <is>
          <t>В процессе выполнения задания можно использовать LLM для генерации вариантов мероприятий, подготовки формул, проверки структуры базы данных и поиска ошибок.</t>
        </is>
      </c>
    </row>
    <row r="12">
      <c r="A12" t="inlineStr">
        <is>
          <t>11. Пример работы с LLM</t>
        </is>
      </c>
      <c r="B12" t="inlineStr">
        <is>
          <t>Пример запроса: «Проверь формулу подсчёта мероприятий по месяцам и предложи способ условного форматирования прошедших мероприятий». Полученный результат необходимо проверить вручную.</t>
        </is>
      </c>
    </row>
    <row r="13">
      <c r="A13" t="inlineStr">
        <is>
          <t>12. Результат освоения LLM</t>
        </is>
      </c>
      <c r="B13" t="inlineStr">
        <is>
          <t>LLM используется как вспомогательный инструмент: помогает подготовить формулы, пояснения и варианты решения, но окончательная проверка данных и формул выполняется пользователем.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2026-10-02T09:49:10Z</dcterms:created>
  <dcterms:modified xmlns:dcterms="http://purl.org/dc/terms/" xmlns:xsi="http://www.w3.org/2001/XMLSchema-instance" xsi:type="dcterms:W3CDTF">2026-10-02T09:49:10Z</dcterms:modified>
</cp:coreProperties>
</file>